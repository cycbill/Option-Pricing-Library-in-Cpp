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an92\source\repos\cycbill\Option-Pricing-Library-in-Cpp\european_option_pde_crank_nicolson\"/>
    </mc:Choice>
  </mc:AlternateContent>
  <xr:revisionPtr revIDLastSave="0" documentId="13_ncr:1_{BC594924-955A-44E8-A5B4-A792B9459457}" xr6:coauthVersionLast="43" xr6:coauthVersionMax="43" xr10:uidLastSave="{00000000-0000-0000-0000-000000000000}"/>
  <bookViews>
    <workbookView xWindow="-120" yWindow="-120" windowWidth="29040" windowHeight="15840" xr2:uid="{8D1B5500-7BCE-4938-B168-25DAB7D11443}"/>
  </bookViews>
  <sheets>
    <sheet name="Sheet1" sheetId="1" r:id="rId1"/>
  </sheets>
  <functionGroups builtInGroupCount="19"/>
  <definedNames>
    <definedName name="x_values">Sheet1!$C$11:$C$30</definedName>
    <definedName name="x_values18">Sheet1!$C$12:$C$29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R45" i="1" l="1"/>
  <c r="R62" i="1"/>
  <c r="M44" i="1"/>
  <c r="J63" i="1"/>
  <c r="M63" i="1" s="1"/>
  <c r="H63" i="1"/>
  <c r="G63" i="1"/>
  <c r="I63" i="1" s="1"/>
  <c r="P44" i="1"/>
  <c r="J44" i="1"/>
  <c r="H44" i="1"/>
  <c r="I44" i="1" s="1"/>
  <c r="G44" i="1"/>
  <c r="K44" i="1" s="1"/>
  <c r="I45" i="1"/>
  <c r="G45" i="1"/>
  <c r="E63" i="1"/>
  <c r="E44" i="1"/>
  <c r="D44" i="1"/>
  <c r="D45" i="1"/>
  <c r="D63" i="1"/>
  <c r="C63" i="1"/>
  <c r="C44" i="1"/>
  <c r="C45" i="1"/>
  <c r="B44" i="1" a="1"/>
  <c r="B44" i="1" s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45" i="1"/>
  <c r="B39" i="1"/>
  <c r="C19" i="1"/>
  <c r="D19" i="1" s="1"/>
  <c r="C27" i="1"/>
  <c r="D27" i="1" s="1"/>
  <c r="B6" i="1"/>
  <c r="E3" i="1"/>
  <c r="B7" i="1" s="1"/>
  <c r="L63" i="1" l="1"/>
  <c r="O63" i="1"/>
  <c r="P63" i="1"/>
  <c r="K63" i="1"/>
  <c r="N44" i="1"/>
  <c r="Q44" i="1"/>
  <c r="O44" i="1"/>
  <c r="L44" i="1"/>
  <c r="B63" i="1"/>
  <c r="B59" i="1"/>
  <c r="B55" i="1"/>
  <c r="B51" i="1"/>
  <c r="B47" i="1"/>
  <c r="B62" i="1"/>
  <c r="B58" i="1"/>
  <c r="B54" i="1"/>
  <c r="B50" i="1"/>
  <c r="B46" i="1"/>
  <c r="B61" i="1"/>
  <c r="B57" i="1"/>
  <c r="B53" i="1"/>
  <c r="B49" i="1"/>
  <c r="B45" i="1"/>
  <c r="B60" i="1"/>
  <c r="B56" i="1"/>
  <c r="B52" i="1"/>
  <c r="B48" i="1"/>
  <c r="C24" i="1"/>
  <c r="D24" i="1" s="1"/>
  <c r="C11" i="1"/>
  <c r="D11" i="1" s="1"/>
  <c r="C23" i="1"/>
  <c r="D23" i="1" s="1"/>
  <c r="C15" i="1"/>
  <c r="D15" i="1" s="1"/>
  <c r="C13" i="1"/>
  <c r="D13" i="1" s="1"/>
  <c r="C17" i="1"/>
  <c r="D17" i="1" s="1"/>
  <c r="C21" i="1"/>
  <c r="D21" i="1" s="1"/>
  <c r="C25" i="1"/>
  <c r="D25" i="1" s="1"/>
  <c r="C29" i="1"/>
  <c r="D29" i="1" s="1"/>
  <c r="C14" i="1"/>
  <c r="D14" i="1" s="1"/>
  <c r="C18" i="1"/>
  <c r="D18" i="1" s="1"/>
  <c r="C22" i="1"/>
  <c r="D22" i="1" s="1"/>
  <c r="C26" i="1"/>
  <c r="D26" i="1" s="1"/>
  <c r="C30" i="1"/>
  <c r="D30" i="1" s="1"/>
  <c r="C16" i="1"/>
  <c r="D16" i="1" s="1"/>
  <c r="C28" i="1"/>
  <c r="D28" i="1" s="1"/>
  <c r="C20" i="1"/>
  <c r="D20" i="1" s="1"/>
  <c r="C12" i="1"/>
  <c r="B35" i="1"/>
  <c r="Q63" i="1" l="1"/>
  <c r="N63" i="1"/>
  <c r="D12" i="1"/>
  <c r="C52" i="1" l="1"/>
  <c r="G52" i="1" s="1"/>
  <c r="D52" i="1"/>
  <c r="H52" i="1" s="1"/>
  <c r="D55" i="1"/>
  <c r="H55" i="1" s="1"/>
  <c r="C55" i="1"/>
  <c r="G55" i="1" s="1"/>
  <c r="D47" i="1"/>
  <c r="H47" i="1" s="1"/>
  <c r="C47" i="1"/>
  <c r="G47" i="1" s="1"/>
  <c r="D59" i="1"/>
  <c r="H59" i="1" s="1"/>
  <c r="C59" i="1"/>
  <c r="G59" i="1" s="1"/>
  <c r="H45" i="1"/>
  <c r="C53" i="1"/>
  <c r="G53" i="1" s="1"/>
  <c r="D53" i="1"/>
  <c r="H53" i="1" s="1"/>
  <c r="C56" i="1"/>
  <c r="G56" i="1" s="1"/>
  <c r="D56" i="1"/>
  <c r="H56" i="1" s="1"/>
  <c r="C49" i="1"/>
  <c r="G49" i="1" s="1"/>
  <c r="D49" i="1"/>
  <c r="H49" i="1" s="1"/>
  <c r="C60" i="1"/>
  <c r="G60" i="1" s="1"/>
  <c r="D60" i="1"/>
  <c r="H60" i="1" s="1"/>
  <c r="D54" i="1"/>
  <c r="H54" i="1" s="1"/>
  <c r="C54" i="1"/>
  <c r="G54" i="1" s="1"/>
  <c r="C57" i="1"/>
  <c r="G57" i="1" s="1"/>
  <c r="D57" i="1"/>
  <c r="H57" i="1" s="1"/>
  <c r="D50" i="1"/>
  <c r="H50" i="1" s="1"/>
  <c r="C50" i="1"/>
  <c r="G50" i="1" s="1"/>
  <c r="C61" i="1"/>
  <c r="G61" i="1" s="1"/>
  <c r="D61" i="1"/>
  <c r="H61" i="1" s="1"/>
  <c r="D51" i="1"/>
  <c r="H51" i="1" s="1"/>
  <c r="C51" i="1"/>
  <c r="G51" i="1" s="1"/>
  <c r="C48" i="1"/>
  <c r="G48" i="1" s="1"/>
  <c r="D48" i="1"/>
  <c r="H48" i="1" s="1"/>
  <c r="D58" i="1"/>
  <c r="H58" i="1" s="1"/>
  <c r="C58" i="1"/>
  <c r="G58" i="1" s="1"/>
  <c r="D46" i="1"/>
  <c r="H46" i="1" s="1"/>
  <c r="C46" i="1"/>
  <c r="G46" i="1" s="1"/>
  <c r="D62" i="1"/>
  <c r="H62" i="1" s="1"/>
  <c r="C62" i="1"/>
  <c r="G62" i="1" s="1"/>
  <c r="J48" i="1" l="1"/>
  <c r="P48" i="1" s="1"/>
  <c r="K48" i="1"/>
  <c r="I48" i="1"/>
  <c r="J57" i="1"/>
  <c r="P57" i="1" s="1"/>
  <c r="I57" i="1"/>
  <c r="K57" i="1"/>
  <c r="J56" i="1"/>
  <c r="P56" i="1" s="1"/>
  <c r="I56" i="1"/>
  <c r="K56" i="1"/>
  <c r="K58" i="1"/>
  <c r="I58" i="1"/>
  <c r="J58" i="1"/>
  <c r="P58" i="1" s="1"/>
  <c r="K50" i="1"/>
  <c r="I50" i="1"/>
  <c r="J50" i="1"/>
  <c r="P50" i="1" s="1"/>
  <c r="K59" i="1"/>
  <c r="I59" i="1"/>
  <c r="J59" i="1"/>
  <c r="P59" i="1" s="1"/>
  <c r="J49" i="1"/>
  <c r="P49" i="1" s="1"/>
  <c r="I49" i="1"/>
  <c r="K49" i="1"/>
  <c r="J53" i="1"/>
  <c r="P53" i="1" s="1"/>
  <c r="K53" i="1"/>
  <c r="I53" i="1"/>
  <c r="J61" i="1"/>
  <c r="P61" i="1" s="1"/>
  <c r="K61" i="1"/>
  <c r="I61" i="1"/>
  <c r="J60" i="1"/>
  <c r="P60" i="1" s="1"/>
  <c r="I60" i="1"/>
  <c r="K60" i="1"/>
  <c r="K62" i="1"/>
  <c r="I62" i="1"/>
  <c r="J62" i="1"/>
  <c r="P62" i="1" s="1"/>
  <c r="K51" i="1"/>
  <c r="I51" i="1"/>
  <c r="J51" i="1"/>
  <c r="P51" i="1" s="1"/>
  <c r="K54" i="1"/>
  <c r="I54" i="1"/>
  <c r="J54" i="1"/>
  <c r="P54" i="1" s="1"/>
  <c r="K55" i="1"/>
  <c r="I55" i="1"/>
  <c r="J55" i="1"/>
  <c r="P55" i="1" s="1"/>
  <c r="K46" i="1"/>
  <c r="I46" i="1"/>
  <c r="J46" i="1"/>
  <c r="P46" i="1" s="1"/>
  <c r="K45" i="1"/>
  <c r="J45" i="1"/>
  <c r="K47" i="1"/>
  <c r="I47" i="1"/>
  <c r="J47" i="1"/>
  <c r="P47" i="1" s="1"/>
  <c r="J52" i="1"/>
  <c r="P52" i="1" s="1"/>
  <c r="I52" i="1"/>
  <c r="K52" i="1"/>
  <c r="N52" i="1" l="1"/>
  <c r="Q52" i="1"/>
  <c r="L47" i="1"/>
  <c r="O47" i="1"/>
  <c r="L54" i="1"/>
  <c r="O54" i="1"/>
  <c r="N60" i="1"/>
  <c r="Q60" i="1"/>
  <c r="N47" i="1"/>
  <c r="Q47" i="1"/>
  <c r="N54" i="1"/>
  <c r="Q54" i="1"/>
  <c r="P45" i="1"/>
  <c r="M45" i="1"/>
  <c r="N55" i="1"/>
  <c r="Q55" i="1"/>
  <c r="L62" i="1"/>
  <c r="O62" i="1"/>
  <c r="L53" i="1"/>
  <c r="O53" i="1"/>
  <c r="L49" i="1"/>
  <c r="O49" i="1"/>
  <c r="N59" i="1"/>
  <c r="Q59" i="1"/>
  <c r="L56" i="1"/>
  <c r="O56" i="1"/>
  <c r="N45" i="1"/>
  <c r="Q45" i="1"/>
  <c r="N51" i="1"/>
  <c r="Q51" i="1"/>
  <c r="N61" i="1"/>
  <c r="Q61" i="1"/>
  <c r="L52" i="1"/>
  <c r="O52" i="1"/>
  <c r="R52" i="1" s="1"/>
  <c r="L55" i="1"/>
  <c r="O55" i="1"/>
  <c r="R55" i="1" s="1"/>
  <c r="L46" i="1"/>
  <c r="O46" i="1"/>
  <c r="L45" i="1"/>
  <c r="O45" i="1"/>
  <c r="N46" i="1"/>
  <c r="Q46" i="1"/>
  <c r="L51" i="1"/>
  <c r="O51" i="1"/>
  <c r="N62" i="1"/>
  <c r="Q62" i="1"/>
  <c r="L61" i="1"/>
  <c r="O61" i="1"/>
  <c r="R61" i="1" s="1"/>
  <c r="N53" i="1"/>
  <c r="Q53" i="1"/>
  <c r="L58" i="1"/>
  <c r="O58" i="1"/>
  <c r="L48" i="1"/>
  <c r="O48" i="1"/>
  <c r="L50" i="1"/>
  <c r="O50" i="1"/>
  <c r="N58" i="1"/>
  <c r="Q58" i="1"/>
  <c r="N57" i="1"/>
  <c r="Q57" i="1"/>
  <c r="N48" i="1"/>
  <c r="Q48" i="1"/>
  <c r="L60" i="1"/>
  <c r="O60" i="1"/>
  <c r="N49" i="1"/>
  <c r="Q49" i="1"/>
  <c r="L59" i="1"/>
  <c r="O59" i="1"/>
  <c r="N50" i="1"/>
  <c r="Q50" i="1"/>
  <c r="N56" i="1"/>
  <c r="Q56" i="1"/>
  <c r="L57" i="1"/>
  <c r="O57" i="1"/>
  <c r="R57" i="1" s="1"/>
  <c r="M52" i="1"/>
  <c r="M51" i="1"/>
  <c r="M53" i="1"/>
  <c r="M59" i="1"/>
  <c r="M60" i="1"/>
  <c r="M58" i="1"/>
  <c r="M57" i="1"/>
  <c r="M47" i="1"/>
  <c r="M54" i="1"/>
  <c r="M49" i="1"/>
  <c r="M50" i="1"/>
  <c r="M56" i="1"/>
  <c r="M55" i="1"/>
  <c r="M46" i="1"/>
  <c r="M62" i="1"/>
  <c r="M61" i="1"/>
  <c r="M48" i="1"/>
  <c r="R51" i="1" l="1"/>
  <c r="R53" i="1"/>
  <c r="R48" i="1"/>
  <c r="R49" i="1"/>
  <c r="R54" i="1"/>
  <c r="R59" i="1"/>
  <c r="R60" i="1"/>
  <c r="R47" i="1"/>
  <c r="R50" i="1"/>
  <c r="R46" i="1"/>
  <c r="R58" i="1"/>
  <c r="R56" i="1"/>
</calcChain>
</file>

<file path=xl/sharedStrings.xml><?xml version="1.0" encoding="utf-8"?>
<sst xmlns="http://schemas.openxmlformats.org/spreadsheetml/2006/main" count="46" uniqueCount="43">
  <si>
    <t>K</t>
  </si>
  <si>
    <t>r</t>
  </si>
  <si>
    <t>v</t>
  </si>
  <si>
    <t>T</t>
  </si>
  <si>
    <t>x_dom</t>
  </si>
  <si>
    <t>J</t>
  </si>
  <si>
    <t>t_dom</t>
  </si>
  <si>
    <t>N</t>
  </si>
  <si>
    <t>dx</t>
  </si>
  <si>
    <t>dt</t>
  </si>
  <si>
    <t>set_initial_condition:</t>
  </si>
  <si>
    <t>old_result</t>
  </si>
  <si>
    <t>j</t>
  </si>
  <si>
    <t>x_values</t>
  </si>
  <si>
    <t>step_march:</t>
  </si>
  <si>
    <t>cur_t</t>
  </si>
  <si>
    <t>step</t>
  </si>
  <si>
    <t>new_result[0]</t>
  </si>
  <si>
    <t>new_result[19]</t>
  </si>
  <si>
    <t>calculate_boundary_conditions:</t>
  </si>
  <si>
    <t>calculate_inner_domain:</t>
  </si>
  <si>
    <t>dt_sig</t>
  </si>
  <si>
    <t>diff_coeff</t>
  </si>
  <si>
    <t>conv_coeff</t>
  </si>
  <si>
    <t>zero_coeff</t>
  </si>
  <si>
    <t>source_coeff</t>
  </si>
  <si>
    <t>pde</t>
  </si>
  <si>
    <t>prev_t</t>
  </si>
  <si>
    <t>dt_sig_2</t>
  </si>
  <si>
    <t>alpha</t>
  </si>
  <si>
    <t>beta</t>
  </si>
  <si>
    <t>gamma</t>
  </si>
  <si>
    <t>fdm component</t>
  </si>
  <si>
    <t>A</t>
  </si>
  <si>
    <t>B</t>
  </si>
  <si>
    <t>C</t>
  </si>
  <si>
    <t>D</t>
  </si>
  <si>
    <t>X</t>
  </si>
  <si>
    <t>A_right</t>
  </si>
  <si>
    <t>B_right</t>
  </si>
  <si>
    <t>C_right</t>
  </si>
  <si>
    <t>Left Matrix</t>
  </si>
  <si>
    <t>Right Matrix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</si>
</sst>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4" formatCode="0.000000"/>
    <numFmt numFmtId="175" formatCode="0.000000000"/>
  </numFmts>
  <fonts count="3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1" xfId="0" applyFont="1" applyBorder="1"/>
    <xf numFmtId="0" fontId="1" fillId="2" borderId="1" xfId="0" applyFont="1" applyFill="1" applyBorder="1"/>
    <xf numFmtId="0" fontId="1" fillId="0" borderId="0" xfId="0" applyFont="1"/>
    <xf numFmtId="2" fontId="1" fillId="2" borderId="1" xfId="0" applyNumberFormat="1" applyFont="1" applyFill="1" applyBorder="1"/>
    <xf numFmtId="0" fontId="1" fillId="3" borderId="1" xfId="0" applyFont="1" applyFill="1" applyBorder="1"/>
    <xf numFmtId="0" fontId="2" fillId="0" borderId="0" xfId="0" applyFont="1"/>
    <xf numFmtId="0" fontId="1" fillId="0" borderId="1" xfId="0" applyFont="1" applyBorder="1" applyAlignment="1">
      <alignment horizontal="center"/>
    </xf>
    <xf numFmtId="0" fontId="1" fillId="3" borderId="1" xfId="0" applyNumberFormat="1" applyFont="1" applyFill="1" applyBorder="1"/>
    <xf numFmtId="0" fontId="1" fillId="0" borderId="2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74" fontId="1" fillId="3" borderId="1" xfId="0" applyNumberFormat="1" applyFont="1" applyFill="1" applyBorder="1"/>
    <xf numFmtId="2" fontId="1" fillId="3" borderId="1" xfId="0" applyNumberFormat="1" applyFont="1" applyFill="1" applyBorder="1"/>
    <xf numFmtId="0" fontId="1" fillId="0" borderId="3" xfId="0" applyFont="1" applyBorder="1" applyAlignment="1">
      <alignment horizontal="center"/>
    </xf>
    <xf numFmtId="175" fontId="1" fillId="3" borderId="1" xfId="0" applyNumberFormat="1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276225</xdr:colOff>
          <xdr:row>44</xdr:row>
          <xdr:rowOff>28575</xdr:rowOff>
        </xdr:from>
        <xdr:to>
          <xdr:col>21</xdr:col>
          <xdr:colOff>180975</xdr:colOff>
          <xdr:row>46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CA7BDDC-F91A-4E64-AC76-01E00B2421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B9939-AA0E-4527-8887-01B44E7F99AE}">
  <sheetPr codeName="Sheet1"/>
  <dimension ref="A1:S63"/>
  <sheetViews>
    <sheetView showGridLines="0" tabSelected="1" topLeftCell="A22" zoomScale="85" zoomScaleNormal="85" workbookViewId="0">
      <selection activeCell="G32" sqref="G32"/>
    </sheetView>
  </sheetViews>
  <sheetFormatPr defaultRowHeight="12.75" x14ac:dyDescent="0.2"/>
  <cols>
    <col min="1" max="1" width="13.28515625" style="3" customWidth="1"/>
    <col min="2" max="2" width="9.140625" style="3"/>
    <col min="3" max="3" width="12.42578125" style="3" bestFit="1" customWidth="1"/>
    <col min="4" max="4" width="11.7109375" style="3" customWidth="1"/>
    <col min="5" max="5" width="9.42578125" style="3" bestFit="1" customWidth="1"/>
    <col min="6" max="6" width="11.42578125" style="3" bestFit="1" customWidth="1"/>
    <col min="7" max="8" width="12.42578125" style="3" bestFit="1" customWidth="1"/>
    <col min="9" max="10" width="13.140625" style="3" bestFit="1" customWidth="1"/>
    <col min="11" max="12" width="12.42578125" style="3" bestFit="1" customWidth="1"/>
    <col min="13" max="13" width="9.140625" style="3"/>
    <col min="14" max="14" width="13.140625" style="3" bestFit="1" customWidth="1"/>
    <col min="15" max="16" width="13.140625" style="3" customWidth="1"/>
    <col min="17" max="17" width="12.42578125" style="3" bestFit="1" customWidth="1"/>
    <col min="18" max="18" width="13.140625" style="3" bestFit="1" customWidth="1"/>
    <col min="19" max="16384" width="9.140625" style="3"/>
  </cols>
  <sheetData>
    <row r="1" spans="1:5" x14ac:dyDescent="0.2">
      <c r="A1" s="1" t="s">
        <v>0</v>
      </c>
      <c r="B1" s="4">
        <v>0.5</v>
      </c>
      <c r="D1" s="1" t="s">
        <v>4</v>
      </c>
      <c r="E1" s="4">
        <v>1</v>
      </c>
    </row>
    <row r="2" spans="1:5" x14ac:dyDescent="0.2">
      <c r="A2" s="1" t="s">
        <v>1</v>
      </c>
      <c r="B2" s="4">
        <v>0.25</v>
      </c>
      <c r="D2" s="1" t="s">
        <v>5</v>
      </c>
      <c r="E2" s="2">
        <v>20</v>
      </c>
    </row>
    <row r="3" spans="1:5" x14ac:dyDescent="0.2">
      <c r="A3" s="1" t="s">
        <v>2</v>
      </c>
      <c r="B3" s="4">
        <v>0.2</v>
      </c>
      <c r="D3" s="1" t="s">
        <v>6</v>
      </c>
      <c r="E3" s="4">
        <f>B4</f>
        <v>1</v>
      </c>
    </row>
    <row r="4" spans="1:5" x14ac:dyDescent="0.2">
      <c r="A4" s="1" t="s">
        <v>3</v>
      </c>
      <c r="B4" s="4">
        <v>1</v>
      </c>
      <c r="D4" s="1" t="s">
        <v>7</v>
      </c>
      <c r="E4" s="2">
        <v>20</v>
      </c>
    </row>
    <row r="6" spans="1:5" x14ac:dyDescent="0.2">
      <c r="A6" s="1" t="s">
        <v>8</v>
      </c>
      <c r="B6" s="5">
        <f>E1/(E2-1)</f>
        <v>5.2631578947368418E-2</v>
      </c>
    </row>
    <row r="7" spans="1:5" x14ac:dyDescent="0.2">
      <c r="A7" s="1" t="s">
        <v>9</v>
      </c>
      <c r="B7" s="5">
        <f>E3/(E4-1)</f>
        <v>5.2631578947368418E-2</v>
      </c>
    </row>
    <row r="9" spans="1:5" x14ac:dyDescent="0.2">
      <c r="A9" s="6" t="s">
        <v>10</v>
      </c>
    </row>
    <row r="10" spans="1:5" x14ac:dyDescent="0.2">
      <c r="A10" s="3" t="s">
        <v>11</v>
      </c>
      <c r="B10" s="7" t="s">
        <v>12</v>
      </c>
      <c r="C10" s="7" t="s">
        <v>13</v>
      </c>
      <c r="D10" s="7" t="s">
        <v>11</v>
      </c>
    </row>
    <row r="11" spans="1:5" x14ac:dyDescent="0.2">
      <c r="B11" s="1">
        <v>0</v>
      </c>
      <c r="C11" s="5">
        <f>B11*$B$6</f>
        <v>0</v>
      </c>
      <c r="D11" s="8">
        <f>MAX(C11-$B$1,0)</f>
        <v>0</v>
      </c>
    </row>
    <row r="12" spans="1:5" x14ac:dyDescent="0.2">
      <c r="B12" s="1">
        <v>1</v>
      </c>
      <c r="C12" s="5">
        <f t="shared" ref="C12:C30" si="0">B12*$B$6</f>
        <v>5.2631578947368418E-2</v>
      </c>
      <c r="D12" s="8">
        <f t="shared" ref="D12:D30" si="1">MAX(C12-$B$1,0)</f>
        <v>0</v>
      </c>
    </row>
    <row r="13" spans="1:5" x14ac:dyDescent="0.2">
      <c r="B13" s="1">
        <v>2</v>
      </c>
      <c r="C13" s="5">
        <f t="shared" si="0"/>
        <v>0.10526315789473684</v>
      </c>
      <c r="D13" s="8">
        <f t="shared" si="1"/>
        <v>0</v>
      </c>
    </row>
    <row r="14" spans="1:5" x14ac:dyDescent="0.2">
      <c r="B14" s="1">
        <v>3</v>
      </c>
      <c r="C14" s="5">
        <f t="shared" si="0"/>
        <v>0.15789473684210525</v>
      </c>
      <c r="D14" s="8">
        <f t="shared" si="1"/>
        <v>0</v>
      </c>
    </row>
    <row r="15" spans="1:5" x14ac:dyDescent="0.2">
      <c r="B15" s="1">
        <v>4</v>
      </c>
      <c r="C15" s="5">
        <f t="shared" si="0"/>
        <v>0.21052631578947367</v>
      </c>
      <c r="D15" s="8">
        <f t="shared" si="1"/>
        <v>0</v>
      </c>
    </row>
    <row r="16" spans="1:5" x14ac:dyDescent="0.2">
      <c r="B16" s="1">
        <v>5</v>
      </c>
      <c r="C16" s="5">
        <f t="shared" si="0"/>
        <v>0.26315789473684209</v>
      </c>
      <c r="D16" s="8">
        <f t="shared" si="1"/>
        <v>0</v>
      </c>
    </row>
    <row r="17" spans="1:4" x14ac:dyDescent="0.2">
      <c r="B17" s="1">
        <v>6</v>
      </c>
      <c r="C17" s="5">
        <f t="shared" si="0"/>
        <v>0.31578947368421051</v>
      </c>
      <c r="D17" s="8">
        <f t="shared" si="1"/>
        <v>0</v>
      </c>
    </row>
    <row r="18" spans="1:4" x14ac:dyDescent="0.2">
      <c r="B18" s="1">
        <v>7</v>
      </c>
      <c r="C18" s="5">
        <f t="shared" si="0"/>
        <v>0.36842105263157893</v>
      </c>
      <c r="D18" s="8">
        <f t="shared" si="1"/>
        <v>0</v>
      </c>
    </row>
    <row r="19" spans="1:4" x14ac:dyDescent="0.2">
      <c r="B19" s="1">
        <v>8</v>
      </c>
      <c r="C19" s="5">
        <f t="shared" si="0"/>
        <v>0.42105263157894735</v>
      </c>
      <c r="D19" s="8">
        <f t="shared" si="1"/>
        <v>0</v>
      </c>
    </row>
    <row r="20" spans="1:4" x14ac:dyDescent="0.2">
      <c r="B20" s="1">
        <v>9</v>
      </c>
      <c r="C20" s="5">
        <f t="shared" si="0"/>
        <v>0.47368421052631576</v>
      </c>
      <c r="D20" s="8">
        <f t="shared" si="1"/>
        <v>0</v>
      </c>
    </row>
    <row r="21" spans="1:4" x14ac:dyDescent="0.2">
      <c r="B21" s="1">
        <v>10</v>
      </c>
      <c r="C21" s="5">
        <f t="shared" si="0"/>
        <v>0.52631578947368418</v>
      </c>
      <c r="D21" s="8">
        <f t="shared" si="1"/>
        <v>2.6315789473684181E-2</v>
      </c>
    </row>
    <row r="22" spans="1:4" x14ac:dyDescent="0.2">
      <c r="B22" s="1">
        <v>11</v>
      </c>
      <c r="C22" s="5">
        <f t="shared" si="0"/>
        <v>0.57894736842105265</v>
      </c>
      <c r="D22" s="8">
        <f t="shared" si="1"/>
        <v>7.8947368421052655E-2</v>
      </c>
    </row>
    <row r="23" spans="1:4" x14ac:dyDescent="0.2">
      <c r="B23" s="1">
        <v>12</v>
      </c>
      <c r="C23" s="5">
        <f t="shared" si="0"/>
        <v>0.63157894736842102</v>
      </c>
      <c r="D23" s="8">
        <f t="shared" si="1"/>
        <v>0.13157894736842102</v>
      </c>
    </row>
    <row r="24" spans="1:4" x14ac:dyDescent="0.2">
      <c r="B24" s="1">
        <v>13</v>
      </c>
      <c r="C24" s="5">
        <f t="shared" si="0"/>
        <v>0.68421052631578938</v>
      </c>
      <c r="D24" s="8">
        <f t="shared" si="1"/>
        <v>0.18421052631578938</v>
      </c>
    </row>
    <row r="25" spans="1:4" x14ac:dyDescent="0.2">
      <c r="B25" s="1">
        <v>14</v>
      </c>
      <c r="C25" s="5">
        <f t="shared" si="0"/>
        <v>0.73684210526315785</v>
      </c>
      <c r="D25" s="8">
        <f t="shared" si="1"/>
        <v>0.23684210526315785</v>
      </c>
    </row>
    <row r="26" spans="1:4" x14ac:dyDescent="0.2">
      <c r="B26" s="1">
        <v>15</v>
      </c>
      <c r="C26" s="5">
        <f t="shared" si="0"/>
        <v>0.78947368421052633</v>
      </c>
      <c r="D26" s="8">
        <f t="shared" si="1"/>
        <v>0.28947368421052633</v>
      </c>
    </row>
    <row r="27" spans="1:4" x14ac:dyDescent="0.2">
      <c r="B27" s="1">
        <v>16</v>
      </c>
      <c r="C27" s="5">
        <f t="shared" si="0"/>
        <v>0.84210526315789469</v>
      </c>
      <c r="D27" s="8">
        <f t="shared" si="1"/>
        <v>0.34210526315789469</v>
      </c>
    </row>
    <row r="28" spans="1:4" x14ac:dyDescent="0.2">
      <c r="B28" s="1">
        <v>17</v>
      </c>
      <c r="C28" s="5">
        <f t="shared" si="0"/>
        <v>0.89473684210526305</v>
      </c>
      <c r="D28" s="8">
        <f t="shared" si="1"/>
        <v>0.39473684210526305</v>
      </c>
    </row>
    <row r="29" spans="1:4" x14ac:dyDescent="0.2">
      <c r="B29" s="1">
        <v>18</v>
      </c>
      <c r="C29" s="5">
        <f t="shared" si="0"/>
        <v>0.94736842105263153</v>
      </c>
      <c r="D29" s="8">
        <f t="shared" si="1"/>
        <v>0.44736842105263153</v>
      </c>
    </row>
    <row r="30" spans="1:4" x14ac:dyDescent="0.2">
      <c r="B30" s="1">
        <v>19</v>
      </c>
      <c r="C30" s="5">
        <f t="shared" si="0"/>
        <v>1</v>
      </c>
      <c r="D30" s="8">
        <f t="shared" si="1"/>
        <v>0.5</v>
      </c>
    </row>
    <row r="32" spans="1:4" x14ac:dyDescent="0.2">
      <c r="A32" s="6" t="s">
        <v>14</v>
      </c>
    </row>
    <row r="33" spans="1:19" x14ac:dyDescent="0.2">
      <c r="A33" s="1" t="s">
        <v>16</v>
      </c>
      <c r="B33" s="5">
        <v>0</v>
      </c>
    </row>
    <row r="34" spans="1:19" x14ac:dyDescent="0.2">
      <c r="A34" s="1" t="s">
        <v>27</v>
      </c>
      <c r="B34" s="5">
        <v>0</v>
      </c>
    </row>
    <row r="35" spans="1:19" x14ac:dyDescent="0.2">
      <c r="A35" s="1" t="s">
        <v>15</v>
      </c>
      <c r="B35" s="5">
        <f>B34+$B$7</f>
        <v>5.2631578947368418E-2</v>
      </c>
    </row>
    <row r="37" spans="1:19" x14ac:dyDescent="0.2">
      <c r="A37" s="6" t="s">
        <v>19</v>
      </c>
    </row>
    <row r="38" spans="1:19" x14ac:dyDescent="0.2">
      <c r="A38" s="1" t="s">
        <v>17</v>
      </c>
      <c r="B38" s="5">
        <v>0</v>
      </c>
    </row>
    <row r="39" spans="1:19" x14ac:dyDescent="0.2">
      <c r="A39" s="1" t="s">
        <v>18</v>
      </c>
      <c r="B39" s="5">
        <f>$E$1-$B$1*EXP(-$B$2*($B$4-B34))</f>
        <v>0.61059960846429751</v>
      </c>
    </row>
    <row r="41" spans="1:19" x14ac:dyDescent="0.2">
      <c r="A41" s="6" t="s">
        <v>20</v>
      </c>
    </row>
    <row r="42" spans="1:19" x14ac:dyDescent="0.2">
      <c r="A42" s="6"/>
      <c r="C42" s="11" t="s">
        <v>26</v>
      </c>
      <c r="D42" s="12"/>
      <c r="E42" s="12"/>
      <c r="F42" s="13"/>
      <c r="G42" s="10" t="s">
        <v>32</v>
      </c>
      <c r="H42" s="10"/>
      <c r="I42" s="10"/>
      <c r="J42" s="10"/>
      <c r="K42" s="10"/>
      <c r="L42" s="10" t="s">
        <v>41</v>
      </c>
      <c r="M42" s="10"/>
      <c r="N42" s="10"/>
      <c r="O42" s="10" t="s">
        <v>42</v>
      </c>
      <c r="P42" s="10"/>
      <c r="Q42" s="10"/>
      <c r="R42" s="10"/>
    </row>
    <row r="43" spans="1:19" x14ac:dyDescent="0.2">
      <c r="A43" s="1" t="s">
        <v>12</v>
      </c>
      <c r="B43" s="9" t="s">
        <v>13</v>
      </c>
      <c r="C43" s="7" t="s">
        <v>22</v>
      </c>
      <c r="D43" s="7" t="s">
        <v>23</v>
      </c>
      <c r="E43" s="7" t="s">
        <v>24</v>
      </c>
      <c r="F43" s="7" t="s">
        <v>25</v>
      </c>
      <c r="G43" s="16" t="s">
        <v>21</v>
      </c>
      <c r="H43" s="7" t="s">
        <v>28</v>
      </c>
      <c r="I43" s="7" t="s">
        <v>29</v>
      </c>
      <c r="J43" s="7" t="s">
        <v>30</v>
      </c>
      <c r="K43" s="7" t="s">
        <v>31</v>
      </c>
      <c r="L43" s="7" t="s">
        <v>33</v>
      </c>
      <c r="M43" s="7" t="s">
        <v>34</v>
      </c>
      <c r="N43" s="7" t="s">
        <v>35</v>
      </c>
      <c r="O43" s="7" t="s">
        <v>38</v>
      </c>
      <c r="P43" s="7" t="s">
        <v>39</v>
      </c>
      <c r="Q43" s="7" t="s">
        <v>40</v>
      </c>
      <c r="R43" s="7" t="s">
        <v>36</v>
      </c>
      <c r="S43" s="7" t="s">
        <v>37</v>
      </c>
    </row>
    <row r="44" spans="1:19" x14ac:dyDescent="0.2">
      <c r="A44" s="1">
        <v>0</v>
      </c>
      <c r="B44" s="9">
        <f t="array" ref="B44:B63">x_values</f>
        <v>0</v>
      </c>
      <c r="C44" s="14">
        <f>0.5*$B$3^2*B44^2</f>
        <v>0</v>
      </c>
      <c r="D44" s="14">
        <f>$B$2*B44</f>
        <v>0</v>
      </c>
      <c r="E44" s="15">
        <f>-$B$2</f>
        <v>-0.25</v>
      </c>
      <c r="F44" s="5">
        <v>0</v>
      </c>
      <c r="G44" s="5">
        <f>0.5*$B$7*C44</f>
        <v>0</v>
      </c>
      <c r="H44" s="5">
        <f>$B$7*$B$6*0.25*D44</f>
        <v>0</v>
      </c>
      <c r="I44" s="5">
        <f>G44-H44</f>
        <v>0</v>
      </c>
      <c r="J44" s="5">
        <f>-2*G44+0.5*$B$7*$B$6^2*E44</f>
        <v>-1.8224230937454436E-5</v>
      </c>
      <c r="K44" s="5">
        <f>G44+H44</f>
        <v>0</v>
      </c>
      <c r="L44" s="1">
        <f>-I44</f>
        <v>0</v>
      </c>
      <c r="M44" s="1">
        <f>$B$6^2-J44</f>
        <v>2.7883073334305287E-3</v>
      </c>
      <c r="N44" s="1">
        <f>-K44</f>
        <v>0</v>
      </c>
      <c r="O44" s="1">
        <f>I44</f>
        <v>0</v>
      </c>
      <c r="P44" s="1">
        <f>$B$6^2+J44</f>
        <v>2.75185887155562E-3</v>
      </c>
      <c r="Q44" s="1">
        <f>K44</f>
        <v>0</v>
      </c>
      <c r="R44" s="7"/>
      <c r="S44" s="7"/>
    </row>
    <row r="45" spans="1:19" x14ac:dyDescent="0.2">
      <c r="A45" s="1">
        <v>1</v>
      </c>
      <c r="B45" s="1">
        <v>5.2631578947368418E-2</v>
      </c>
      <c r="C45" s="14">
        <f>0.5*$B$3^2*B45^2</f>
        <v>5.54016620498615E-5</v>
      </c>
      <c r="D45" s="14">
        <f>$B$2*B45</f>
        <v>1.3157894736842105E-2</v>
      </c>
      <c r="E45" s="15">
        <f>-$B$2</f>
        <v>-0.25</v>
      </c>
      <c r="F45" s="5">
        <v>0</v>
      </c>
      <c r="G45" s="5">
        <f>0.5*$B$7*C45</f>
        <v>1.4579384749963552E-6</v>
      </c>
      <c r="H45" s="5">
        <f>$B$7*$B$6*0.25*D45</f>
        <v>9.1121154687272178E-6</v>
      </c>
      <c r="I45" s="5">
        <f>G45-H45</f>
        <v>-7.6541769937308626E-6</v>
      </c>
      <c r="J45" s="5">
        <f>-2*G45+0.5*$B$7*$B$6^2*E45</f>
        <v>-2.1140107887447146E-5</v>
      </c>
      <c r="K45" s="5">
        <f>G45+H45</f>
        <v>1.0570053943723573E-5</v>
      </c>
      <c r="L45" s="1">
        <f>-I45</f>
        <v>7.6541769937308626E-6</v>
      </c>
      <c r="M45" s="1">
        <f>$B$6^2-J45</f>
        <v>2.7912232103805214E-3</v>
      </c>
      <c r="N45" s="1">
        <f>-K45</f>
        <v>-1.0570053943723573E-5</v>
      </c>
      <c r="O45" s="1">
        <f>I45</f>
        <v>-7.6541769937308626E-6</v>
      </c>
      <c r="P45" s="1">
        <f>$B$6^2+J45</f>
        <v>2.7489429946056273E-3</v>
      </c>
      <c r="Q45" s="1">
        <f>K45</f>
        <v>1.0570053943723573E-5</v>
      </c>
      <c r="R45" s="5">
        <f>(MMULT(O45:Q45,D11:D13)+Q44*(D11+B38))/($B$6^2)</f>
        <v>0</v>
      </c>
      <c r="S45" s="1">
        <v>3.8734810264403356E-14</v>
      </c>
    </row>
    <row r="46" spans="1:19" x14ac:dyDescent="0.2">
      <c r="A46" s="1">
        <v>2</v>
      </c>
      <c r="B46" s="1">
        <v>0.10526315789473684</v>
      </c>
      <c r="C46" s="14">
        <f t="shared" ref="C46:C63" si="2">0.5*$B$3^2*B46^2</f>
        <v>2.21606648199446E-4</v>
      </c>
      <c r="D46" s="14">
        <f t="shared" ref="D46:D63" si="3">$B$2*B46</f>
        <v>2.6315789473684209E-2</v>
      </c>
      <c r="E46" s="15">
        <f t="shared" ref="E46:E63" si="4">-$B$2</f>
        <v>-0.25</v>
      </c>
      <c r="F46" s="5">
        <v>0</v>
      </c>
      <c r="G46" s="5">
        <f t="shared" ref="G46:G62" si="5">0.5*$B$7*C46</f>
        <v>5.8317538999854207E-6</v>
      </c>
      <c r="H46" s="5">
        <f t="shared" ref="H46:H62" si="6">$B$7*$B$6*0.25*D46</f>
        <v>1.8224230937454436E-5</v>
      </c>
      <c r="I46" s="5">
        <f t="shared" ref="I46:I62" si="7">G46-H46</f>
        <v>-1.2392477037469015E-5</v>
      </c>
      <c r="J46" s="5">
        <f t="shared" ref="J46:J62" si="8">-2*G46+0.5*$B$7*$B$6^2*E46</f>
        <v>-2.9887738737425277E-5</v>
      </c>
      <c r="K46" s="5">
        <f t="shared" ref="K46:K62" si="9">G46+H46</f>
        <v>2.4055984837439856E-5</v>
      </c>
      <c r="L46" s="1">
        <f t="shared" ref="L46:L62" si="10">-I46</f>
        <v>1.2392477037469015E-5</v>
      </c>
      <c r="M46" s="1">
        <f t="shared" ref="M46:M62" si="11">$B$6^2-J46</f>
        <v>2.7999708412304995E-3</v>
      </c>
      <c r="N46" s="1">
        <f t="shared" ref="N46:N62" si="12">-K46</f>
        <v>-2.4055984837439856E-5</v>
      </c>
      <c r="O46" s="1">
        <f t="shared" ref="O46:O62" si="13">I46</f>
        <v>-1.2392477037469015E-5</v>
      </c>
      <c r="P46" s="1">
        <f t="shared" ref="P46:P62" si="14">$B$6^2+J46</f>
        <v>2.7401953637556493E-3</v>
      </c>
      <c r="Q46" s="1">
        <f t="shared" ref="Q46:Q62" si="15">K46</f>
        <v>2.4055984837439856E-5</v>
      </c>
      <c r="R46" s="1">
        <f>MMULT(O46:Q46,D12:D14)/($B$6^2)</f>
        <v>0</v>
      </c>
      <c r="S46" s="1">
        <v>1.0228661276027617E-11</v>
      </c>
    </row>
    <row r="47" spans="1:19" x14ac:dyDescent="0.2">
      <c r="A47" s="1">
        <v>3</v>
      </c>
      <c r="B47" s="1">
        <v>0.15789473684210525</v>
      </c>
      <c r="C47" s="14">
        <f t="shared" si="2"/>
        <v>4.986149584487535E-4</v>
      </c>
      <c r="D47" s="14">
        <f t="shared" si="3"/>
        <v>3.9473684210526314E-2</v>
      </c>
      <c r="E47" s="15">
        <f t="shared" si="4"/>
        <v>-0.25</v>
      </c>
      <c r="F47" s="5">
        <v>0</v>
      </c>
      <c r="G47" s="5">
        <f t="shared" si="5"/>
        <v>1.3121446274967197E-5</v>
      </c>
      <c r="H47" s="5">
        <f t="shared" si="6"/>
        <v>2.7336346406181653E-5</v>
      </c>
      <c r="I47" s="5">
        <f t="shared" si="7"/>
        <v>-1.4214900131214457E-5</v>
      </c>
      <c r="J47" s="5">
        <f t="shared" si="8"/>
        <v>-4.4467123487388832E-5</v>
      </c>
      <c r="K47" s="5">
        <f t="shared" si="9"/>
        <v>4.0457792681148852E-5</v>
      </c>
      <c r="L47" s="1">
        <f t="shared" si="10"/>
        <v>1.4214900131214457E-5</v>
      </c>
      <c r="M47" s="1">
        <f t="shared" si="11"/>
        <v>2.8145502259804634E-3</v>
      </c>
      <c r="N47" s="1">
        <f t="shared" si="12"/>
        <v>-4.0457792681148852E-5</v>
      </c>
      <c r="O47" s="1">
        <f t="shared" si="13"/>
        <v>-1.4214900131214457E-5</v>
      </c>
      <c r="P47" s="1">
        <f t="shared" si="14"/>
        <v>2.7256159790056854E-3</v>
      </c>
      <c r="Q47" s="1">
        <f t="shared" si="15"/>
        <v>4.0457792681148852E-5</v>
      </c>
      <c r="R47" s="1">
        <f>MMULT(O47:Q47,D13:D15)/($B$6^2)</f>
        <v>0</v>
      </c>
      <c r="S47" s="1">
        <v>1.1905741349392902E-9</v>
      </c>
    </row>
    <row r="48" spans="1:19" x14ac:dyDescent="0.2">
      <c r="A48" s="1">
        <v>4</v>
      </c>
      <c r="B48" s="1">
        <v>0.21052631578947367</v>
      </c>
      <c r="C48" s="14">
        <f t="shared" si="2"/>
        <v>8.86426592797784E-4</v>
      </c>
      <c r="D48" s="14">
        <f t="shared" si="3"/>
        <v>5.2631578947368418E-2</v>
      </c>
      <c r="E48" s="15">
        <f t="shared" si="4"/>
        <v>-0.25</v>
      </c>
      <c r="F48" s="5">
        <v>0</v>
      </c>
      <c r="G48" s="5">
        <f t="shared" si="5"/>
        <v>2.3327015599941683E-5</v>
      </c>
      <c r="H48" s="5">
        <f t="shared" si="6"/>
        <v>3.6448461874908871E-5</v>
      </c>
      <c r="I48" s="5">
        <f t="shared" si="7"/>
        <v>-1.3121446274967188E-5</v>
      </c>
      <c r="J48" s="5">
        <f t="shared" si="8"/>
        <v>-6.4878262137337808E-5</v>
      </c>
      <c r="K48" s="5">
        <f t="shared" si="9"/>
        <v>5.9775477474850554E-5</v>
      </c>
      <c r="L48" s="1">
        <f t="shared" si="10"/>
        <v>1.3121446274967188E-5</v>
      </c>
      <c r="M48" s="1">
        <f t="shared" si="11"/>
        <v>2.8349613646304122E-3</v>
      </c>
      <c r="N48" s="1">
        <f t="shared" si="12"/>
        <v>-5.9775477474850554E-5</v>
      </c>
      <c r="O48" s="1">
        <f t="shared" si="13"/>
        <v>-1.3121446274967188E-5</v>
      </c>
      <c r="P48" s="1">
        <f t="shared" si="14"/>
        <v>2.7052048403557365E-3</v>
      </c>
      <c r="Q48" s="1">
        <f t="shared" si="15"/>
        <v>5.9775477474850554E-5</v>
      </c>
      <c r="R48" s="1">
        <f>MMULT(O48:Q48,D14:D16)/($B$6^2)</f>
        <v>0</v>
      </c>
      <c r="S48" s="1">
        <v>8.2828940430549217E-8</v>
      </c>
    </row>
    <row r="49" spans="1:19" x14ac:dyDescent="0.2">
      <c r="A49" s="1">
        <v>5</v>
      </c>
      <c r="B49" s="1">
        <v>0.26315789473684209</v>
      </c>
      <c r="C49" s="14">
        <f t="shared" si="2"/>
        <v>1.3850415512465374E-3</v>
      </c>
      <c r="D49" s="14">
        <f t="shared" si="3"/>
        <v>6.5789473684210523E-2</v>
      </c>
      <c r="E49" s="15">
        <f t="shared" si="4"/>
        <v>-0.25</v>
      </c>
      <c r="F49" s="5">
        <v>0</v>
      </c>
      <c r="G49" s="5">
        <f t="shared" si="5"/>
        <v>3.6448461874908878E-5</v>
      </c>
      <c r="H49" s="5">
        <f t="shared" si="6"/>
        <v>4.5560577343636092E-5</v>
      </c>
      <c r="I49" s="5">
        <f t="shared" si="7"/>
        <v>-9.1121154687272144E-6</v>
      </c>
      <c r="J49" s="5">
        <f t="shared" si="8"/>
        <v>-9.1121154687272184E-5</v>
      </c>
      <c r="K49" s="5">
        <f t="shared" si="9"/>
        <v>8.2009039218544963E-5</v>
      </c>
      <c r="L49" s="1">
        <f t="shared" si="10"/>
        <v>9.1121154687272144E-6</v>
      </c>
      <c r="M49" s="1">
        <f t="shared" si="11"/>
        <v>2.8612042571803465E-3</v>
      </c>
      <c r="N49" s="1">
        <f t="shared" si="12"/>
        <v>-8.2009039218544963E-5</v>
      </c>
      <c r="O49" s="1">
        <f t="shared" si="13"/>
        <v>-9.1121154687272144E-6</v>
      </c>
      <c r="P49" s="1">
        <f t="shared" si="14"/>
        <v>2.6789619478058023E-3</v>
      </c>
      <c r="Q49" s="1">
        <f t="shared" si="15"/>
        <v>8.2009039218544963E-5</v>
      </c>
      <c r="R49" s="1">
        <f>MMULT(O49:Q49,D15:D17)/($B$6^2)</f>
        <v>0</v>
      </c>
      <c r="S49" s="1">
        <v>3.9285753618150581E-6</v>
      </c>
    </row>
    <row r="50" spans="1:19" x14ac:dyDescent="0.2">
      <c r="A50" s="1">
        <v>6</v>
      </c>
      <c r="B50" s="1">
        <v>0.31578947368421051</v>
      </c>
      <c r="C50" s="14">
        <f t="shared" si="2"/>
        <v>1.994459833795014E-3</v>
      </c>
      <c r="D50" s="14">
        <f t="shared" si="3"/>
        <v>7.8947368421052627E-2</v>
      </c>
      <c r="E50" s="15">
        <f t="shared" si="4"/>
        <v>-0.25</v>
      </c>
      <c r="F50" s="5">
        <v>0</v>
      </c>
      <c r="G50" s="5">
        <f t="shared" si="5"/>
        <v>5.2485785099868787E-5</v>
      </c>
      <c r="H50" s="5">
        <f t="shared" si="6"/>
        <v>5.4672692812363307E-5</v>
      </c>
      <c r="I50" s="5">
        <f t="shared" si="7"/>
        <v>-2.1869077124945201E-6</v>
      </c>
      <c r="J50" s="5">
        <f t="shared" si="8"/>
        <v>-1.23195801137192E-4</v>
      </c>
      <c r="K50" s="5">
        <f t="shared" si="9"/>
        <v>1.0715847791223209E-4</v>
      </c>
      <c r="L50" s="1">
        <f t="shared" si="10"/>
        <v>2.1869077124945201E-6</v>
      </c>
      <c r="M50" s="1">
        <f t="shared" si="11"/>
        <v>2.8932789036302665E-3</v>
      </c>
      <c r="N50" s="1">
        <f t="shared" si="12"/>
        <v>-1.0715847791223209E-4</v>
      </c>
      <c r="O50" s="1">
        <f t="shared" si="13"/>
        <v>-2.1869077124945201E-6</v>
      </c>
      <c r="P50" s="1">
        <f t="shared" si="14"/>
        <v>2.6468873013558822E-3</v>
      </c>
      <c r="Q50" s="1">
        <f t="shared" si="15"/>
        <v>1.0715847791223209E-4</v>
      </c>
      <c r="R50" s="1">
        <f>MMULT(O50:Q50,D16:D18)/($B$6^2)</f>
        <v>0</v>
      </c>
      <c r="S50" s="1">
        <v>1.3707283250559543E-4</v>
      </c>
    </row>
    <row r="51" spans="1:19" x14ac:dyDescent="0.2">
      <c r="A51" s="1">
        <v>7</v>
      </c>
      <c r="B51" s="1">
        <v>0.36842105263157893</v>
      </c>
      <c r="C51" s="14">
        <f t="shared" si="2"/>
        <v>2.7146814404432136E-3</v>
      </c>
      <c r="D51" s="14">
        <f t="shared" si="3"/>
        <v>9.2105263157894732E-2</v>
      </c>
      <c r="E51" s="15">
        <f t="shared" si="4"/>
        <v>-0.25</v>
      </c>
      <c r="F51" s="5">
        <v>0</v>
      </c>
      <c r="G51" s="5">
        <f t="shared" si="5"/>
        <v>7.1438985274821409E-5</v>
      </c>
      <c r="H51" s="5">
        <f t="shared" si="6"/>
        <v>6.3784808281090521E-5</v>
      </c>
      <c r="I51" s="5">
        <f t="shared" si="7"/>
        <v>7.654176993730888E-6</v>
      </c>
      <c r="J51" s="5">
        <f t="shared" si="8"/>
        <v>-1.6110220148709726E-4</v>
      </c>
      <c r="K51" s="5">
        <f t="shared" si="9"/>
        <v>1.3522379355591192E-4</v>
      </c>
      <c r="L51" s="1">
        <f t="shared" si="10"/>
        <v>-7.654176993730888E-6</v>
      </c>
      <c r="M51" s="1">
        <f t="shared" si="11"/>
        <v>2.9311853039801715E-3</v>
      </c>
      <c r="N51" s="1">
        <f t="shared" si="12"/>
        <v>-1.3522379355591192E-4</v>
      </c>
      <c r="O51" s="1">
        <f t="shared" si="13"/>
        <v>7.654176993730888E-6</v>
      </c>
      <c r="P51" s="1">
        <f t="shared" si="14"/>
        <v>2.6089809010059772E-3</v>
      </c>
      <c r="Q51" s="1">
        <f t="shared" si="15"/>
        <v>1.3522379355591192E-4</v>
      </c>
      <c r="R51" s="1">
        <f>MMULT(O51:Q51,D17:D19)/($B$6^2)</f>
        <v>0</v>
      </c>
      <c r="S51" s="1">
        <v>3.7010466526584611E-3</v>
      </c>
    </row>
    <row r="52" spans="1:19" x14ac:dyDescent="0.2">
      <c r="A52" s="1">
        <v>8</v>
      </c>
      <c r="B52" s="1">
        <v>0.42105263157894735</v>
      </c>
      <c r="C52" s="14">
        <f t="shared" si="2"/>
        <v>3.545706371191136E-3</v>
      </c>
      <c r="D52" s="14">
        <f t="shared" si="3"/>
        <v>0.10526315789473684</v>
      </c>
      <c r="E52" s="15">
        <f t="shared" si="4"/>
        <v>-0.25</v>
      </c>
      <c r="F52" s="5">
        <v>0</v>
      </c>
      <c r="G52" s="5">
        <f t="shared" si="5"/>
        <v>9.3308062399766732E-5</v>
      </c>
      <c r="H52" s="5">
        <f t="shared" si="6"/>
        <v>7.2896923749817742E-5</v>
      </c>
      <c r="I52" s="5">
        <f t="shared" si="7"/>
        <v>2.0411138649948989E-5</v>
      </c>
      <c r="J52" s="5">
        <f t="shared" si="8"/>
        <v>-2.0484035573698791E-4</v>
      </c>
      <c r="K52" s="5">
        <f t="shared" si="9"/>
        <v>1.6620498614958447E-4</v>
      </c>
      <c r="L52" s="1">
        <f t="shared" si="10"/>
        <v>-2.0411138649948989E-5</v>
      </c>
      <c r="M52" s="1">
        <f t="shared" si="11"/>
        <v>2.9749234582300624E-3</v>
      </c>
      <c r="N52" s="1">
        <f t="shared" si="12"/>
        <v>-1.6620498614958447E-4</v>
      </c>
      <c r="O52" s="1">
        <f t="shared" si="13"/>
        <v>2.0411138649948989E-5</v>
      </c>
      <c r="P52" s="1">
        <f t="shared" si="14"/>
        <v>2.5652427467560864E-3</v>
      </c>
      <c r="Q52" s="1">
        <f t="shared" si="15"/>
        <v>1.6620498614958447E-4</v>
      </c>
      <c r="R52" s="1">
        <f>MMULT(O52:Q52,D18:D20)/($B$6^2)</f>
        <v>0</v>
      </c>
      <c r="S52" s="1">
        <v>8.021816348031463E-2</v>
      </c>
    </row>
    <row r="53" spans="1:19" x14ac:dyDescent="0.2">
      <c r="A53" s="1">
        <v>9</v>
      </c>
      <c r="B53" s="1">
        <v>0.47368421052631576</v>
      </c>
      <c r="C53" s="14">
        <f t="shared" si="2"/>
        <v>4.4875346260387812E-3</v>
      </c>
      <c r="D53" s="14">
        <f t="shared" si="3"/>
        <v>0.11842105263157894</v>
      </c>
      <c r="E53" s="15">
        <f t="shared" si="4"/>
        <v>-0.25</v>
      </c>
      <c r="F53" s="5">
        <v>0</v>
      </c>
      <c r="G53" s="5">
        <f t="shared" si="5"/>
        <v>1.1809301647470476E-4</v>
      </c>
      <c r="H53" s="5">
        <f t="shared" si="6"/>
        <v>8.2009039218544963E-5</v>
      </c>
      <c r="I53" s="5">
        <f t="shared" si="7"/>
        <v>3.6083977256159798E-5</v>
      </c>
      <c r="J53" s="5">
        <f t="shared" si="8"/>
        <v>-2.5441026388686396E-4</v>
      </c>
      <c r="K53" s="5">
        <f t="shared" si="9"/>
        <v>2.0010205569324972E-4</v>
      </c>
      <c r="L53" s="1">
        <f t="shared" si="10"/>
        <v>-3.6083977256159798E-5</v>
      </c>
      <c r="M53" s="1">
        <f t="shared" si="11"/>
        <v>3.0244933663799382E-3</v>
      </c>
      <c r="N53" s="1">
        <f t="shared" si="12"/>
        <v>-2.0010205569324972E-4</v>
      </c>
      <c r="O53" s="1">
        <f t="shared" si="13"/>
        <v>3.6083977256159798E-5</v>
      </c>
      <c r="P53" s="1">
        <f t="shared" si="14"/>
        <v>2.5156728386062106E-3</v>
      </c>
      <c r="Q53" s="1">
        <f t="shared" si="15"/>
        <v>2.0010205569324972E-4</v>
      </c>
      <c r="R53" s="1">
        <f>MMULT(O53:Q53,D19:D21)/($B$6^2)</f>
        <v>1.9009695290858706E-3</v>
      </c>
      <c r="S53" s="1">
        <v>1.4353802449863577</v>
      </c>
    </row>
    <row r="54" spans="1:19" x14ac:dyDescent="0.2">
      <c r="A54" s="1">
        <v>10</v>
      </c>
      <c r="B54" s="1">
        <v>0.52631578947368418</v>
      </c>
      <c r="C54" s="14">
        <f t="shared" si="2"/>
        <v>5.5401662049861496E-3</v>
      </c>
      <c r="D54" s="14">
        <f t="shared" si="3"/>
        <v>0.13157894736842105</v>
      </c>
      <c r="E54" s="15">
        <f t="shared" si="4"/>
        <v>-0.25</v>
      </c>
      <c r="F54" s="5">
        <v>0</v>
      </c>
      <c r="G54" s="5">
        <f t="shared" si="5"/>
        <v>1.4579384749963551E-4</v>
      </c>
      <c r="H54" s="5">
        <f t="shared" si="6"/>
        <v>9.1121154687272184E-5</v>
      </c>
      <c r="I54" s="5">
        <f t="shared" si="7"/>
        <v>5.4672692812363327E-5</v>
      </c>
      <c r="J54" s="5">
        <f t="shared" si="8"/>
        <v>-3.0981192593672547E-4</v>
      </c>
      <c r="K54" s="5">
        <f t="shared" si="9"/>
        <v>2.369150021869077E-4</v>
      </c>
      <c r="L54" s="1">
        <f t="shared" si="10"/>
        <v>-5.4672692812363327E-5</v>
      </c>
      <c r="M54" s="1">
        <f t="shared" si="11"/>
        <v>3.0798950284297998E-3</v>
      </c>
      <c r="N54" s="1">
        <f t="shared" si="12"/>
        <v>-2.369150021869077E-4</v>
      </c>
      <c r="O54" s="1">
        <f t="shared" si="13"/>
        <v>5.4672692812363327E-5</v>
      </c>
      <c r="P54" s="1">
        <f t="shared" si="14"/>
        <v>2.460271176556349E-3</v>
      </c>
      <c r="Q54" s="1">
        <f t="shared" si="15"/>
        <v>2.369150021869077E-4</v>
      </c>
      <c r="R54" s="1">
        <f>MMULT(O54:Q54,D20:D22)/($B$6^2)</f>
        <v>3.0124653739612164E-2</v>
      </c>
      <c r="S54" s="1">
        <v>12.180953870149818</v>
      </c>
    </row>
    <row r="55" spans="1:19" x14ac:dyDescent="0.2">
      <c r="A55" s="1">
        <v>11</v>
      </c>
      <c r="B55" s="1">
        <v>0.57894736842105265</v>
      </c>
      <c r="C55" s="14">
        <f t="shared" si="2"/>
        <v>6.7036011080332429E-3</v>
      </c>
      <c r="D55" s="14">
        <f t="shared" si="3"/>
        <v>0.14473684210526316</v>
      </c>
      <c r="E55" s="15">
        <f t="shared" si="4"/>
        <v>-0.25</v>
      </c>
      <c r="F55" s="5">
        <v>0</v>
      </c>
      <c r="G55" s="5">
        <f t="shared" si="5"/>
        <v>1.7641055547455901E-4</v>
      </c>
      <c r="H55" s="5">
        <f t="shared" si="6"/>
        <v>1.0023327015599941E-4</v>
      </c>
      <c r="I55" s="5">
        <f t="shared" si="7"/>
        <v>7.6177285318559604E-5</v>
      </c>
      <c r="J55" s="5">
        <f t="shared" si="8"/>
        <v>-3.7104534188657246E-4</v>
      </c>
      <c r="K55" s="5">
        <f t="shared" si="9"/>
        <v>2.7664382563055841E-4</v>
      </c>
      <c r="L55" s="1">
        <f t="shared" si="10"/>
        <v>-7.6177285318559604E-5</v>
      </c>
      <c r="M55" s="1">
        <f t="shared" si="11"/>
        <v>3.1411284443796468E-3</v>
      </c>
      <c r="N55" s="1">
        <f t="shared" si="12"/>
        <v>-2.7664382563055841E-4</v>
      </c>
      <c r="O55" s="1">
        <f t="shared" si="13"/>
        <v>7.6177285318559604E-5</v>
      </c>
      <c r="P55" s="1">
        <f t="shared" si="14"/>
        <v>2.399037760606502E-3</v>
      </c>
      <c r="Q55" s="1">
        <f t="shared" si="15"/>
        <v>2.7664382563055841E-4</v>
      </c>
      <c r="R55" s="1">
        <f>MMULT(O55:Q55,D21:D23)/($B$6^2)</f>
        <v>8.2236842105263178E-2</v>
      </c>
      <c r="S55" s="1">
        <v>30.867312563104697</v>
      </c>
    </row>
    <row r="56" spans="1:19" x14ac:dyDescent="0.2">
      <c r="A56" s="1">
        <v>12</v>
      </c>
      <c r="B56" s="1">
        <v>0.63157894736842102</v>
      </c>
      <c r="C56" s="14">
        <f t="shared" si="2"/>
        <v>7.977839335180056E-3</v>
      </c>
      <c r="D56" s="14">
        <f t="shared" si="3"/>
        <v>0.15789473684210525</v>
      </c>
      <c r="E56" s="15">
        <f t="shared" si="4"/>
        <v>-0.25</v>
      </c>
      <c r="F56" s="5">
        <v>0</v>
      </c>
      <c r="G56" s="5">
        <f t="shared" si="5"/>
        <v>2.0994314039947515E-4</v>
      </c>
      <c r="H56" s="5">
        <f t="shared" si="6"/>
        <v>1.0934538562472661E-4</v>
      </c>
      <c r="I56" s="5">
        <f t="shared" si="7"/>
        <v>1.0059775477474853E-4</v>
      </c>
      <c r="J56" s="5">
        <f t="shared" si="8"/>
        <v>-4.3811051173640473E-4</v>
      </c>
      <c r="K56" s="5">
        <f t="shared" si="9"/>
        <v>3.1928852602420177E-4</v>
      </c>
      <c r="L56" s="1">
        <f t="shared" si="10"/>
        <v>-1.0059775477474853E-4</v>
      </c>
      <c r="M56" s="1">
        <f t="shared" si="11"/>
        <v>3.2081936142294792E-3</v>
      </c>
      <c r="N56" s="1">
        <f t="shared" si="12"/>
        <v>-3.1928852602420177E-4</v>
      </c>
      <c r="O56" s="1">
        <f t="shared" si="13"/>
        <v>1.0059775477474853E-4</v>
      </c>
      <c r="P56" s="1">
        <f t="shared" si="14"/>
        <v>2.3319725907566696E-3</v>
      </c>
      <c r="Q56" s="1">
        <f t="shared" si="15"/>
        <v>3.1928852602420177E-4</v>
      </c>
      <c r="R56" s="1">
        <f>MMULT(O56:Q56,D22:D24)/($B$6^2)</f>
        <v>0.13486842105263155</v>
      </c>
      <c r="S56" s="1">
        <v>49.859921357015615</v>
      </c>
    </row>
    <row r="57" spans="1:19" x14ac:dyDescent="0.2">
      <c r="A57" s="1">
        <v>13</v>
      </c>
      <c r="B57" s="1">
        <v>0.68421052631578938</v>
      </c>
      <c r="C57" s="14">
        <f t="shared" si="2"/>
        <v>9.3628808864265924E-3</v>
      </c>
      <c r="D57" s="14">
        <f t="shared" si="3"/>
        <v>0.17105263157894735</v>
      </c>
      <c r="E57" s="15">
        <f t="shared" si="4"/>
        <v>-0.25</v>
      </c>
      <c r="F57" s="5">
        <v>0</v>
      </c>
      <c r="G57" s="5">
        <f t="shared" si="5"/>
        <v>2.46391602274384E-4</v>
      </c>
      <c r="H57" s="5">
        <f t="shared" si="6"/>
        <v>1.1845750109345382E-4</v>
      </c>
      <c r="I57" s="5">
        <f t="shared" si="7"/>
        <v>1.2793410118093018E-4</v>
      </c>
      <c r="J57" s="5">
        <f t="shared" si="8"/>
        <v>-5.1100743548622245E-4</v>
      </c>
      <c r="K57" s="5">
        <f t="shared" si="9"/>
        <v>3.6484910336783782E-4</v>
      </c>
      <c r="L57" s="1">
        <f t="shared" si="10"/>
        <v>-1.2793410118093018E-4</v>
      </c>
      <c r="M57" s="1">
        <f t="shared" si="11"/>
        <v>3.2810905379792969E-3</v>
      </c>
      <c r="N57" s="1">
        <f t="shared" si="12"/>
        <v>-3.6484910336783782E-4</v>
      </c>
      <c r="O57" s="1">
        <f t="shared" si="13"/>
        <v>1.2793410118093018E-4</v>
      </c>
      <c r="P57" s="1">
        <f t="shared" si="14"/>
        <v>2.2590756670068518E-3</v>
      </c>
      <c r="Q57" s="1">
        <f t="shared" si="15"/>
        <v>3.6484910336783782E-4</v>
      </c>
      <c r="R57" s="1">
        <f>MMULT(O57:Q57,D23:D25)/($B$6^2)</f>
        <v>0.18749999999999989</v>
      </c>
      <c r="S57" s="1">
        <v>68.861472051409265</v>
      </c>
    </row>
    <row r="58" spans="1:19" x14ac:dyDescent="0.2">
      <c r="A58" s="1">
        <v>14</v>
      </c>
      <c r="B58" s="1">
        <v>0.73684210526315785</v>
      </c>
      <c r="C58" s="14">
        <f t="shared" si="2"/>
        <v>1.0858725761772854E-2</v>
      </c>
      <c r="D58" s="14">
        <f t="shared" si="3"/>
        <v>0.18421052631578946</v>
      </c>
      <c r="E58" s="15">
        <f t="shared" si="4"/>
        <v>-0.25</v>
      </c>
      <c r="F58" s="5">
        <v>0</v>
      </c>
      <c r="G58" s="5">
        <f t="shared" si="5"/>
        <v>2.8575594109928564E-4</v>
      </c>
      <c r="H58" s="5">
        <f t="shared" si="6"/>
        <v>1.2756961656218104E-4</v>
      </c>
      <c r="I58" s="5">
        <f t="shared" si="7"/>
        <v>1.5818632453710459E-4</v>
      </c>
      <c r="J58" s="5">
        <f t="shared" si="8"/>
        <v>-5.8973611313602571E-4</v>
      </c>
      <c r="K58" s="5">
        <f t="shared" si="9"/>
        <v>4.1332555766146668E-4</v>
      </c>
      <c r="L58" s="1">
        <f t="shared" si="10"/>
        <v>-1.5818632453710459E-4</v>
      </c>
      <c r="M58" s="1">
        <f t="shared" si="11"/>
        <v>3.3598192156291001E-3</v>
      </c>
      <c r="N58" s="1">
        <f t="shared" si="12"/>
        <v>-4.1332555766146668E-4</v>
      </c>
      <c r="O58" s="1">
        <f t="shared" si="13"/>
        <v>1.5818632453710459E-4</v>
      </c>
      <c r="P58" s="1">
        <f t="shared" si="14"/>
        <v>2.1803469893570487E-3</v>
      </c>
      <c r="Q58" s="1">
        <f t="shared" si="15"/>
        <v>4.1332555766146668E-4</v>
      </c>
      <c r="R58" s="1">
        <f>MMULT(O58:Q58,D24:D26)/($B$6^2)</f>
        <v>0.24013157894736836</v>
      </c>
      <c r="S58" s="1">
        <v>87.877261748725132</v>
      </c>
    </row>
    <row r="59" spans="1:19" x14ac:dyDescent="0.2">
      <c r="A59" s="1">
        <v>15</v>
      </c>
      <c r="B59" s="1">
        <v>0.78947368421052633</v>
      </c>
      <c r="C59" s="14">
        <f t="shared" si="2"/>
        <v>1.2465373961218841E-2</v>
      </c>
      <c r="D59" s="14">
        <f t="shared" si="3"/>
        <v>0.19736842105263158</v>
      </c>
      <c r="E59" s="15">
        <f t="shared" si="4"/>
        <v>-0.25</v>
      </c>
      <c r="F59" s="5">
        <v>0</v>
      </c>
      <c r="G59" s="5">
        <f t="shared" si="5"/>
        <v>3.2803615687418002E-4</v>
      </c>
      <c r="H59" s="5">
        <f t="shared" si="6"/>
        <v>1.3668173203090826E-4</v>
      </c>
      <c r="I59" s="5">
        <f t="shared" si="7"/>
        <v>1.9135442484327175E-4</v>
      </c>
      <c r="J59" s="5">
        <f t="shared" si="8"/>
        <v>-6.7429654468581447E-4</v>
      </c>
      <c r="K59" s="5">
        <f t="shared" si="9"/>
        <v>4.6471788890508828E-4</v>
      </c>
      <c r="L59" s="1">
        <f t="shared" si="10"/>
        <v>-1.9135442484327175E-4</v>
      </c>
      <c r="M59" s="1">
        <f t="shared" si="11"/>
        <v>3.4443796471788886E-3</v>
      </c>
      <c r="N59" s="1">
        <f t="shared" si="12"/>
        <v>-4.6471788890508828E-4</v>
      </c>
      <c r="O59" s="1">
        <f t="shared" si="13"/>
        <v>1.9135442484327175E-4</v>
      </c>
      <c r="P59" s="1">
        <f t="shared" si="14"/>
        <v>2.0957865578072601E-3</v>
      </c>
      <c r="Q59" s="1">
        <f t="shared" si="15"/>
        <v>4.6471788890508828E-4</v>
      </c>
      <c r="R59" s="1">
        <f>MMULT(O59:Q59,D25:D27)/($B$6^2)</f>
        <v>0.29276315789473689</v>
      </c>
      <c r="S59" s="1">
        <v>107.00328036105539</v>
      </c>
    </row>
    <row r="60" spans="1:19" x14ac:dyDescent="0.2">
      <c r="A60" s="1">
        <v>16</v>
      </c>
      <c r="B60" s="1">
        <v>0.84210526315789469</v>
      </c>
      <c r="C60" s="14">
        <f t="shared" si="2"/>
        <v>1.4182825484764544E-2</v>
      </c>
      <c r="D60" s="14">
        <f t="shared" si="3"/>
        <v>0.21052631578947367</v>
      </c>
      <c r="E60" s="15">
        <f t="shared" si="4"/>
        <v>-0.25</v>
      </c>
      <c r="F60" s="5">
        <v>0</v>
      </c>
      <c r="G60" s="5">
        <f t="shared" si="5"/>
        <v>3.7323224959906693E-4</v>
      </c>
      <c r="H60" s="5">
        <f t="shared" si="6"/>
        <v>1.4579384749963548E-4</v>
      </c>
      <c r="I60" s="5">
        <f t="shared" si="7"/>
        <v>2.2743840209943144E-4</v>
      </c>
      <c r="J60" s="5">
        <f t="shared" si="8"/>
        <v>-7.646887301355883E-4</v>
      </c>
      <c r="K60" s="5">
        <f t="shared" si="9"/>
        <v>5.1902609709870247E-4</v>
      </c>
      <c r="L60" s="1">
        <f t="shared" si="10"/>
        <v>-2.2743840209943144E-4</v>
      </c>
      <c r="M60" s="1">
        <f t="shared" si="11"/>
        <v>3.5347718326286626E-3</v>
      </c>
      <c r="N60" s="1">
        <f t="shared" si="12"/>
        <v>-5.1902609709870247E-4</v>
      </c>
      <c r="O60" s="1">
        <f t="shared" si="13"/>
        <v>2.2743840209943144E-4</v>
      </c>
      <c r="P60" s="1">
        <f t="shared" si="14"/>
        <v>2.0053943723574862E-3</v>
      </c>
      <c r="Q60" s="1">
        <f t="shared" si="15"/>
        <v>5.1902609709870247E-4</v>
      </c>
      <c r="R60" s="1">
        <f>MMULT(O60:Q60,D26:D28)/($B$6^2)</f>
        <v>0.34539473684210525</v>
      </c>
      <c r="S60" s="1">
        <v>126.9179897991314</v>
      </c>
    </row>
    <row r="61" spans="1:19" x14ac:dyDescent="0.2">
      <c r="A61" s="1">
        <v>17</v>
      </c>
      <c r="B61" s="1">
        <v>0.89473684210526305</v>
      </c>
      <c r="C61" s="14">
        <f t="shared" si="2"/>
        <v>1.6011080332409972E-2</v>
      </c>
      <c r="D61" s="14">
        <f t="shared" si="3"/>
        <v>0.22368421052631576</v>
      </c>
      <c r="E61" s="15">
        <f t="shared" si="4"/>
        <v>-0.25</v>
      </c>
      <c r="F61" s="5">
        <v>0</v>
      </c>
      <c r="G61" s="5">
        <f t="shared" si="5"/>
        <v>4.2134421927394658E-4</v>
      </c>
      <c r="H61" s="5">
        <f t="shared" si="6"/>
        <v>1.5490596296836271E-4</v>
      </c>
      <c r="I61" s="5">
        <f t="shared" si="7"/>
        <v>2.6643825630558388E-4</v>
      </c>
      <c r="J61" s="5">
        <f t="shared" si="8"/>
        <v>-8.6091266948534761E-4</v>
      </c>
      <c r="K61" s="17">
        <f t="shared" si="9"/>
        <v>5.7625018224230929E-4</v>
      </c>
      <c r="L61" s="1">
        <f t="shared" si="10"/>
        <v>-2.6643825630558388E-4</v>
      </c>
      <c r="M61" s="1">
        <f t="shared" si="11"/>
        <v>3.6309957719784219E-3</v>
      </c>
      <c r="N61" s="1">
        <f t="shared" si="12"/>
        <v>-5.7625018224230929E-4</v>
      </c>
      <c r="O61" s="1">
        <f t="shared" si="13"/>
        <v>2.6643825630558388E-4</v>
      </c>
      <c r="P61" s="1">
        <f t="shared" si="14"/>
        <v>1.9091704330077269E-3</v>
      </c>
      <c r="Q61" s="1">
        <f t="shared" si="15"/>
        <v>5.7625018224230929E-4</v>
      </c>
      <c r="R61" s="1">
        <f>MMULT(O61:Q61,D27:D29)/($B$6^2)</f>
        <v>0.39802631578947362</v>
      </c>
      <c r="S61" s="1">
        <v>152.00534980806012</v>
      </c>
    </row>
    <row r="62" spans="1:19" x14ac:dyDescent="0.2">
      <c r="A62" s="1">
        <v>18</v>
      </c>
      <c r="B62" s="1">
        <v>0.94736842105263153</v>
      </c>
      <c r="C62" s="14">
        <f t="shared" si="2"/>
        <v>1.7950138504155125E-2</v>
      </c>
      <c r="D62" s="14">
        <f t="shared" si="3"/>
        <v>0.23684210526315788</v>
      </c>
      <c r="E62" s="15">
        <f t="shared" si="4"/>
        <v>-0.25</v>
      </c>
      <c r="F62" s="5">
        <v>0</v>
      </c>
      <c r="G62" s="5">
        <f t="shared" si="5"/>
        <v>4.7237206589881905E-4</v>
      </c>
      <c r="H62" s="5">
        <f t="shared" si="6"/>
        <v>1.6401807843708993E-4</v>
      </c>
      <c r="I62" s="5">
        <f t="shared" si="7"/>
        <v>3.0835398746172912E-4</v>
      </c>
      <c r="J62" s="5">
        <f t="shared" si="8"/>
        <v>-9.6296836273509253E-4</v>
      </c>
      <c r="K62" s="17">
        <f t="shared" si="9"/>
        <v>6.3639014433590903E-4</v>
      </c>
      <c r="L62" s="1">
        <f t="shared" si="10"/>
        <v>-3.0835398746172912E-4</v>
      </c>
      <c r="M62" s="1">
        <f t="shared" si="11"/>
        <v>3.733051465228167E-3</v>
      </c>
      <c r="N62" s="1">
        <f t="shared" si="12"/>
        <v>-6.3639014433590903E-4</v>
      </c>
      <c r="O62" s="1">
        <f t="shared" si="13"/>
        <v>3.0835398746172912E-4</v>
      </c>
      <c r="P62" s="1">
        <f t="shared" si="14"/>
        <v>1.8071147397579817E-3</v>
      </c>
      <c r="Q62" s="1">
        <f t="shared" si="15"/>
        <v>6.3639014433590903E-4</v>
      </c>
      <c r="R62" s="5">
        <f>(MMULT(O62:Q62,D28:D30)+Q63*(D30+B39))/($B$6^2)</f>
        <v>0.73108429587407719</v>
      </c>
      <c r="S62" s="1">
        <v>208.39673892772282</v>
      </c>
    </row>
    <row r="63" spans="1:19" x14ac:dyDescent="0.2">
      <c r="A63" s="1">
        <v>19</v>
      </c>
      <c r="B63" s="9">
        <v>1</v>
      </c>
      <c r="C63" s="14">
        <f t="shared" si="2"/>
        <v>2.0000000000000004E-2</v>
      </c>
      <c r="D63" s="14">
        <f t="shared" si="3"/>
        <v>0.25</v>
      </c>
      <c r="E63" s="15">
        <f t="shared" si="4"/>
        <v>-0.25</v>
      </c>
      <c r="F63" s="5">
        <v>0</v>
      </c>
      <c r="G63" s="5">
        <f t="shared" ref="G63" si="16">0.5*$B$7*C63</f>
        <v>5.2631578947368431E-4</v>
      </c>
      <c r="H63" s="17">
        <f t="shared" ref="H63" si="17">$B$7*$B$6*0.25*D63</f>
        <v>1.7313019390581715E-4</v>
      </c>
      <c r="I63" s="5">
        <f t="shared" ref="I63" si="18">G63-H63</f>
        <v>3.5318559556786716E-4</v>
      </c>
      <c r="J63" s="5">
        <f t="shared" ref="J63" si="19">-2*G63+0.5*$B$7*$B$6^2*E63</f>
        <v>-1.0708558098848229E-3</v>
      </c>
      <c r="K63" s="5">
        <f t="shared" ref="K63" si="20">G63+H63</f>
        <v>6.9944598337950145E-4</v>
      </c>
      <c r="L63" s="1">
        <f t="shared" ref="L63" si="21">-I63</f>
        <v>-3.5318559556786716E-4</v>
      </c>
      <c r="M63" s="1">
        <f t="shared" ref="M63" si="22">$B$6^2-J63</f>
        <v>3.8409389123778975E-3</v>
      </c>
      <c r="N63" s="1">
        <f t="shared" ref="N63" si="23">-K63</f>
        <v>-6.9944598337950145E-4</v>
      </c>
      <c r="O63" s="1">
        <f t="shared" ref="O63" si="24">I63</f>
        <v>3.5318559556786716E-4</v>
      </c>
      <c r="P63" s="1">
        <f t="shared" ref="P63" si="25">$B$6^2+J63</f>
        <v>1.6992272926082514E-3</v>
      </c>
      <c r="Q63" s="1">
        <f t="shared" ref="Q63" si="26">K63</f>
        <v>6.9944598337950145E-4</v>
      </c>
      <c r="R63" s="7"/>
      <c r="S63" s="7"/>
    </row>
  </sheetData>
  <mergeCells count="4">
    <mergeCell ref="C42:F42"/>
    <mergeCell ref="G42:K42"/>
    <mergeCell ref="L42:N42"/>
    <mergeCell ref="O42:R4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unFunc">
                <anchor moveWithCells="1" sizeWithCells="1">
                  <from>
                    <xdr:col>19</xdr:col>
                    <xdr:colOff>276225</xdr:colOff>
                    <xdr:row>44</xdr:row>
                    <xdr:rowOff>28575</xdr:rowOff>
                  </from>
                  <to>
                    <xdr:col>21</xdr:col>
                    <xdr:colOff>180975</xdr:colOff>
                    <xdr:row>46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Sheet1</vt:lpstr>
      <vt:lpstr>x_values</vt:lpstr>
      <vt:lpstr>x_values18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van DD</dc:creator>
  <cp:lastModifiedBy>van DD</cp:lastModifiedBy>
  <dcterms:created xsi:type="dcterms:W3CDTF">2019-08-17T22:51:34Z</dcterms:created>
  <dcterms:modified xsi:type="dcterms:W3CDTF">2019-08-19T11:59:08Z</dcterms:modified>
</cp:coreProperties>
</file>