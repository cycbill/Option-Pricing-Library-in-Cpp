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n92\source\repos\cycbill\Option-Pricing-Library-in-Cpp\european_option_pde_crank_nicolson\"/>
    </mc:Choice>
  </mc:AlternateContent>
  <xr:revisionPtr revIDLastSave="0" documentId="13_ncr:1_{952173ED-D6A1-4252-ADB2-D3AE1FA8FA24}" xr6:coauthVersionLast="43" xr6:coauthVersionMax="43" xr10:uidLastSave="{00000000-0000-0000-0000-000000000000}"/>
  <bookViews>
    <workbookView xWindow="-120" yWindow="-120" windowWidth="29040" windowHeight="15840" xr2:uid="{8D1B5500-7BCE-4938-B168-25DAB7D11443}"/>
  </bookViews>
  <sheets>
    <sheet name="Sheet1" sheetId="1" r:id="rId1"/>
  </sheets>
  <functionGroups builtInGroupCount="19"/>
  <definedNames>
    <definedName name="x_values">Sheet1!$C$11:$C$30</definedName>
    <definedName name="x_values18">Sheet1!$C$12:$C$29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1" i="1" l="1"/>
  <c r="P30" i="1"/>
  <c r="O12" i="1"/>
  <c r="O29" i="1"/>
  <c r="B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E39" i="1"/>
  <c r="F37" i="1"/>
  <c r="F38" i="1" s="1"/>
  <c r="G37" i="1"/>
  <c r="G38" i="1" s="1"/>
  <c r="H37" i="1"/>
  <c r="I37" i="1"/>
  <c r="I38" i="1" s="1"/>
  <c r="J37" i="1"/>
  <c r="J38" i="1" s="1"/>
  <c r="K37" i="1"/>
  <c r="K38" i="1" s="1"/>
  <c r="L37" i="1"/>
  <c r="M37" i="1"/>
  <c r="M38" i="1" s="1"/>
  <c r="N37" i="1"/>
  <c r="N38" i="1" s="1"/>
  <c r="O37" i="1"/>
  <c r="O38" i="1" s="1"/>
  <c r="P37" i="1"/>
  <c r="Q37" i="1"/>
  <c r="Q38" i="1" s="1"/>
  <c r="R37" i="1"/>
  <c r="R38" i="1" s="1"/>
  <c r="S37" i="1"/>
  <c r="S38" i="1" s="1"/>
  <c r="T37" i="1"/>
  <c r="U37" i="1"/>
  <c r="U38" i="1" s="1"/>
  <c r="V37" i="1"/>
  <c r="V38" i="1" s="1"/>
  <c r="W37" i="1"/>
  <c r="W38" i="1" s="1"/>
  <c r="X37" i="1"/>
  <c r="H38" i="1"/>
  <c r="L38" i="1"/>
  <c r="P38" i="1"/>
  <c r="T38" i="1"/>
  <c r="X38" i="1"/>
  <c r="E38" i="1"/>
  <c r="E37" i="1"/>
  <c r="F12" i="1"/>
  <c r="O13" i="1" l="1"/>
  <c r="R45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R46" i="1"/>
  <c r="N29" i="1"/>
  <c r="M29" i="1"/>
  <c r="L29" i="1"/>
  <c r="K29" i="1"/>
  <c r="J29" i="1"/>
  <c r="I29" i="1"/>
  <c r="N28" i="1"/>
  <c r="M28" i="1"/>
  <c r="L28" i="1"/>
  <c r="K28" i="1"/>
  <c r="J28" i="1"/>
  <c r="I28" i="1"/>
  <c r="N27" i="1"/>
  <c r="M27" i="1"/>
  <c r="L27" i="1"/>
  <c r="K27" i="1"/>
  <c r="J27" i="1"/>
  <c r="I27" i="1"/>
  <c r="N26" i="1"/>
  <c r="M26" i="1"/>
  <c r="L26" i="1"/>
  <c r="K26" i="1"/>
  <c r="J26" i="1"/>
  <c r="I26" i="1"/>
  <c r="N25" i="1"/>
  <c r="M25" i="1"/>
  <c r="L25" i="1"/>
  <c r="K25" i="1"/>
  <c r="J25" i="1"/>
  <c r="I25" i="1"/>
  <c r="N24" i="1"/>
  <c r="M24" i="1"/>
  <c r="L24" i="1"/>
  <c r="K24" i="1"/>
  <c r="J24" i="1"/>
  <c r="I24" i="1"/>
  <c r="N23" i="1"/>
  <c r="M23" i="1"/>
  <c r="L23" i="1"/>
  <c r="K23" i="1"/>
  <c r="J23" i="1"/>
  <c r="I23" i="1"/>
  <c r="N22" i="1"/>
  <c r="M22" i="1"/>
  <c r="L22" i="1"/>
  <c r="K22" i="1"/>
  <c r="J22" i="1"/>
  <c r="I22" i="1"/>
  <c r="N21" i="1"/>
  <c r="M21" i="1"/>
  <c r="L21" i="1"/>
  <c r="K21" i="1"/>
  <c r="J21" i="1"/>
  <c r="I21" i="1"/>
  <c r="N20" i="1"/>
  <c r="M20" i="1"/>
  <c r="L20" i="1"/>
  <c r="K20" i="1"/>
  <c r="J20" i="1"/>
  <c r="I20" i="1"/>
  <c r="N19" i="1"/>
  <c r="M19" i="1"/>
  <c r="L19" i="1"/>
  <c r="K19" i="1"/>
  <c r="J19" i="1"/>
  <c r="I19" i="1"/>
  <c r="N18" i="1"/>
  <c r="M18" i="1"/>
  <c r="L18" i="1"/>
  <c r="K18" i="1"/>
  <c r="J18" i="1"/>
  <c r="I18" i="1"/>
  <c r="N17" i="1"/>
  <c r="M17" i="1"/>
  <c r="L17" i="1"/>
  <c r="K17" i="1"/>
  <c r="J17" i="1"/>
  <c r="I17" i="1"/>
  <c r="N16" i="1"/>
  <c r="M16" i="1"/>
  <c r="L16" i="1"/>
  <c r="K16" i="1"/>
  <c r="J16" i="1"/>
  <c r="I16" i="1"/>
  <c r="N15" i="1"/>
  <c r="M15" i="1"/>
  <c r="L15" i="1"/>
  <c r="K15" i="1"/>
  <c r="J15" i="1"/>
  <c r="I15" i="1"/>
  <c r="N14" i="1"/>
  <c r="M14" i="1"/>
  <c r="L14" i="1"/>
  <c r="K14" i="1"/>
  <c r="J14" i="1"/>
  <c r="I14" i="1"/>
  <c r="N13" i="1"/>
  <c r="M13" i="1"/>
  <c r="L13" i="1"/>
  <c r="K13" i="1"/>
  <c r="J13" i="1"/>
  <c r="I13" i="1"/>
  <c r="N12" i="1"/>
  <c r="M12" i="1"/>
  <c r="L12" i="1"/>
  <c r="K12" i="1"/>
  <c r="J12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R62" i="1" l="1"/>
  <c r="M44" i="1"/>
  <c r="J63" i="1"/>
  <c r="M63" i="1" s="1"/>
  <c r="H63" i="1"/>
  <c r="G63" i="1"/>
  <c r="I63" i="1" s="1"/>
  <c r="P44" i="1"/>
  <c r="J44" i="1"/>
  <c r="H44" i="1"/>
  <c r="I44" i="1" s="1"/>
  <c r="G44" i="1"/>
  <c r="K44" i="1" s="1"/>
  <c r="I45" i="1"/>
  <c r="G45" i="1"/>
  <c r="E63" i="1"/>
  <c r="E44" i="1"/>
  <c r="D44" i="1"/>
  <c r="D45" i="1"/>
  <c r="D63" i="1"/>
  <c r="C63" i="1"/>
  <c r="C44" i="1"/>
  <c r="C45" i="1"/>
  <c r="B44" i="1" a="1"/>
  <c r="B44" i="1" s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45" i="1"/>
  <c r="C19" i="1"/>
  <c r="D19" i="1" s="1"/>
  <c r="C27" i="1"/>
  <c r="D27" i="1" s="1"/>
  <c r="B6" i="1"/>
  <c r="E3" i="1"/>
  <c r="B7" i="1" s="1"/>
  <c r="L63" i="1" l="1"/>
  <c r="O63" i="1"/>
  <c r="P63" i="1"/>
  <c r="K63" i="1"/>
  <c r="N44" i="1"/>
  <c r="Q44" i="1"/>
  <c r="O44" i="1"/>
  <c r="L44" i="1"/>
  <c r="B63" i="1"/>
  <c r="B59" i="1"/>
  <c r="B55" i="1"/>
  <c r="B51" i="1"/>
  <c r="B47" i="1"/>
  <c r="B62" i="1"/>
  <c r="B58" i="1"/>
  <c r="B54" i="1"/>
  <c r="B50" i="1"/>
  <c r="B46" i="1"/>
  <c r="B61" i="1"/>
  <c r="B57" i="1"/>
  <c r="B53" i="1"/>
  <c r="B49" i="1"/>
  <c r="B45" i="1"/>
  <c r="B60" i="1"/>
  <c r="B56" i="1"/>
  <c r="B52" i="1"/>
  <c r="B48" i="1"/>
  <c r="C24" i="1"/>
  <c r="D24" i="1" s="1"/>
  <c r="C11" i="1"/>
  <c r="D11" i="1" s="1"/>
  <c r="C23" i="1"/>
  <c r="D23" i="1" s="1"/>
  <c r="C15" i="1"/>
  <c r="D15" i="1" s="1"/>
  <c r="C13" i="1"/>
  <c r="D13" i="1" s="1"/>
  <c r="C17" i="1"/>
  <c r="D17" i="1" s="1"/>
  <c r="C21" i="1"/>
  <c r="D21" i="1" s="1"/>
  <c r="C25" i="1"/>
  <c r="D25" i="1" s="1"/>
  <c r="C29" i="1"/>
  <c r="D29" i="1" s="1"/>
  <c r="C14" i="1"/>
  <c r="D14" i="1" s="1"/>
  <c r="C18" i="1"/>
  <c r="D18" i="1" s="1"/>
  <c r="C22" i="1"/>
  <c r="D22" i="1" s="1"/>
  <c r="C26" i="1"/>
  <c r="D26" i="1" s="1"/>
  <c r="C30" i="1"/>
  <c r="D30" i="1" s="1"/>
  <c r="C16" i="1"/>
  <c r="D16" i="1" s="1"/>
  <c r="C28" i="1"/>
  <c r="D28" i="1" s="1"/>
  <c r="C20" i="1"/>
  <c r="D20" i="1" s="1"/>
  <c r="C12" i="1"/>
  <c r="B35" i="1"/>
  <c r="Q63" i="1" l="1"/>
  <c r="N63" i="1"/>
  <c r="D12" i="1"/>
  <c r="C52" i="1" l="1"/>
  <c r="G52" i="1" s="1"/>
  <c r="D52" i="1"/>
  <c r="H52" i="1" s="1"/>
  <c r="D55" i="1"/>
  <c r="H55" i="1" s="1"/>
  <c r="C55" i="1"/>
  <c r="G55" i="1" s="1"/>
  <c r="D47" i="1"/>
  <c r="H47" i="1" s="1"/>
  <c r="C47" i="1"/>
  <c r="G47" i="1" s="1"/>
  <c r="D59" i="1"/>
  <c r="H59" i="1" s="1"/>
  <c r="C59" i="1"/>
  <c r="G59" i="1" s="1"/>
  <c r="H45" i="1"/>
  <c r="C53" i="1"/>
  <c r="G53" i="1" s="1"/>
  <c r="D53" i="1"/>
  <c r="H53" i="1" s="1"/>
  <c r="C56" i="1"/>
  <c r="G56" i="1" s="1"/>
  <c r="D56" i="1"/>
  <c r="H56" i="1" s="1"/>
  <c r="C49" i="1"/>
  <c r="G49" i="1" s="1"/>
  <c r="D49" i="1"/>
  <c r="H49" i="1" s="1"/>
  <c r="C60" i="1"/>
  <c r="G60" i="1" s="1"/>
  <c r="D60" i="1"/>
  <c r="H60" i="1" s="1"/>
  <c r="D54" i="1"/>
  <c r="H54" i="1" s="1"/>
  <c r="C54" i="1"/>
  <c r="G54" i="1" s="1"/>
  <c r="C57" i="1"/>
  <c r="G57" i="1" s="1"/>
  <c r="D57" i="1"/>
  <c r="H57" i="1" s="1"/>
  <c r="D50" i="1"/>
  <c r="H50" i="1" s="1"/>
  <c r="C50" i="1"/>
  <c r="G50" i="1" s="1"/>
  <c r="C61" i="1"/>
  <c r="G61" i="1" s="1"/>
  <c r="D61" i="1"/>
  <c r="H61" i="1" s="1"/>
  <c r="D51" i="1"/>
  <c r="H51" i="1" s="1"/>
  <c r="C51" i="1"/>
  <c r="G51" i="1" s="1"/>
  <c r="C48" i="1"/>
  <c r="G48" i="1" s="1"/>
  <c r="D48" i="1"/>
  <c r="H48" i="1" s="1"/>
  <c r="D58" i="1"/>
  <c r="H58" i="1" s="1"/>
  <c r="C58" i="1"/>
  <c r="G58" i="1" s="1"/>
  <c r="D46" i="1"/>
  <c r="H46" i="1" s="1"/>
  <c r="C46" i="1"/>
  <c r="G46" i="1" s="1"/>
  <c r="D62" i="1"/>
  <c r="H62" i="1" s="1"/>
  <c r="C62" i="1"/>
  <c r="G62" i="1" s="1"/>
  <c r="J48" i="1" l="1"/>
  <c r="P48" i="1" s="1"/>
  <c r="K48" i="1"/>
  <c r="I48" i="1"/>
  <c r="J57" i="1"/>
  <c r="P57" i="1" s="1"/>
  <c r="I57" i="1"/>
  <c r="K57" i="1"/>
  <c r="J56" i="1"/>
  <c r="P56" i="1" s="1"/>
  <c r="I56" i="1"/>
  <c r="K56" i="1"/>
  <c r="K58" i="1"/>
  <c r="I58" i="1"/>
  <c r="J58" i="1"/>
  <c r="P58" i="1" s="1"/>
  <c r="K50" i="1"/>
  <c r="I50" i="1"/>
  <c r="J50" i="1"/>
  <c r="P50" i="1" s="1"/>
  <c r="K59" i="1"/>
  <c r="I59" i="1"/>
  <c r="J59" i="1"/>
  <c r="P59" i="1" s="1"/>
  <c r="J49" i="1"/>
  <c r="P49" i="1" s="1"/>
  <c r="I49" i="1"/>
  <c r="K49" i="1"/>
  <c r="J53" i="1"/>
  <c r="P53" i="1" s="1"/>
  <c r="K53" i="1"/>
  <c r="I53" i="1"/>
  <c r="J61" i="1"/>
  <c r="P61" i="1" s="1"/>
  <c r="K61" i="1"/>
  <c r="I61" i="1"/>
  <c r="J60" i="1"/>
  <c r="P60" i="1" s="1"/>
  <c r="I60" i="1"/>
  <c r="K60" i="1"/>
  <c r="K62" i="1"/>
  <c r="I62" i="1"/>
  <c r="J62" i="1"/>
  <c r="P62" i="1" s="1"/>
  <c r="K51" i="1"/>
  <c r="I51" i="1"/>
  <c r="J51" i="1"/>
  <c r="P51" i="1" s="1"/>
  <c r="K54" i="1"/>
  <c r="I54" i="1"/>
  <c r="J54" i="1"/>
  <c r="P54" i="1" s="1"/>
  <c r="K55" i="1"/>
  <c r="I55" i="1"/>
  <c r="J55" i="1"/>
  <c r="P55" i="1" s="1"/>
  <c r="K46" i="1"/>
  <c r="I46" i="1"/>
  <c r="J46" i="1"/>
  <c r="P46" i="1" s="1"/>
  <c r="K45" i="1"/>
  <c r="J45" i="1"/>
  <c r="K47" i="1"/>
  <c r="I47" i="1"/>
  <c r="J47" i="1"/>
  <c r="P47" i="1" s="1"/>
  <c r="J52" i="1"/>
  <c r="P52" i="1" s="1"/>
  <c r="I52" i="1"/>
  <c r="K52" i="1"/>
  <c r="N52" i="1" l="1"/>
  <c r="Q52" i="1"/>
  <c r="L47" i="1"/>
  <c r="O47" i="1"/>
  <c r="L54" i="1"/>
  <c r="O54" i="1"/>
  <c r="N60" i="1"/>
  <c r="Q60" i="1"/>
  <c r="N47" i="1"/>
  <c r="Q47" i="1"/>
  <c r="N54" i="1"/>
  <c r="Q54" i="1"/>
  <c r="P45" i="1"/>
  <c r="M45" i="1"/>
  <c r="N55" i="1"/>
  <c r="Q55" i="1"/>
  <c r="L62" i="1"/>
  <c r="O62" i="1"/>
  <c r="L53" i="1"/>
  <c r="O53" i="1"/>
  <c r="L49" i="1"/>
  <c r="O49" i="1"/>
  <c r="N59" i="1"/>
  <c r="Q59" i="1"/>
  <c r="L56" i="1"/>
  <c r="O56" i="1"/>
  <c r="N45" i="1"/>
  <c r="Q45" i="1"/>
  <c r="N51" i="1"/>
  <c r="Q51" i="1"/>
  <c r="N61" i="1"/>
  <c r="Q61" i="1"/>
  <c r="L52" i="1"/>
  <c r="O52" i="1"/>
  <c r="R52" i="1" s="1"/>
  <c r="L55" i="1"/>
  <c r="O55" i="1"/>
  <c r="R55" i="1" s="1"/>
  <c r="L46" i="1"/>
  <c r="O46" i="1"/>
  <c r="L45" i="1"/>
  <c r="O45" i="1"/>
  <c r="N46" i="1"/>
  <c r="Q46" i="1"/>
  <c r="L51" i="1"/>
  <c r="O51" i="1"/>
  <c r="N62" i="1"/>
  <c r="Q62" i="1"/>
  <c r="L61" i="1"/>
  <c r="O61" i="1"/>
  <c r="R61" i="1" s="1"/>
  <c r="N53" i="1"/>
  <c r="Q53" i="1"/>
  <c r="L58" i="1"/>
  <c r="O58" i="1"/>
  <c r="L48" i="1"/>
  <c r="O48" i="1"/>
  <c r="L50" i="1"/>
  <c r="O50" i="1"/>
  <c r="N58" i="1"/>
  <c r="Q58" i="1"/>
  <c r="N57" i="1"/>
  <c r="Q57" i="1"/>
  <c r="N48" i="1"/>
  <c r="Q48" i="1"/>
  <c r="L60" i="1"/>
  <c r="O60" i="1"/>
  <c r="N49" i="1"/>
  <c r="Q49" i="1"/>
  <c r="L59" i="1"/>
  <c r="O59" i="1"/>
  <c r="N50" i="1"/>
  <c r="Q50" i="1"/>
  <c r="N56" i="1"/>
  <c r="Q56" i="1"/>
  <c r="L57" i="1"/>
  <c r="O57" i="1"/>
  <c r="R57" i="1" s="1"/>
  <c r="M52" i="1"/>
  <c r="M51" i="1"/>
  <c r="M53" i="1"/>
  <c r="M59" i="1"/>
  <c r="M60" i="1"/>
  <c r="M58" i="1"/>
  <c r="M57" i="1"/>
  <c r="M47" i="1"/>
  <c r="M54" i="1"/>
  <c r="M49" i="1"/>
  <c r="M50" i="1"/>
  <c r="M56" i="1"/>
  <c r="M55" i="1"/>
  <c r="M46" i="1"/>
  <c r="M62" i="1"/>
  <c r="M61" i="1"/>
  <c r="M48" i="1"/>
  <c r="R51" i="1" l="1"/>
  <c r="R53" i="1"/>
  <c r="R48" i="1"/>
  <c r="R49" i="1"/>
  <c r="R54" i="1"/>
  <c r="R59" i="1"/>
  <c r="R60" i="1"/>
  <c r="R47" i="1"/>
  <c r="R50" i="1"/>
  <c r="R58" i="1"/>
  <c r="R56" i="1"/>
</calcChain>
</file>

<file path=xl/sharedStrings.xml><?xml version="1.0" encoding="utf-8"?>
<sst xmlns="http://schemas.openxmlformats.org/spreadsheetml/2006/main" count="62" uniqueCount="48">
  <si>
    <t>K</t>
  </si>
  <si>
    <t>r</t>
  </si>
  <si>
    <t>v</t>
  </si>
  <si>
    <t>T</t>
  </si>
  <si>
    <t>x_dom</t>
  </si>
  <si>
    <t>J</t>
  </si>
  <si>
    <t>t_dom</t>
  </si>
  <si>
    <t>N</t>
  </si>
  <si>
    <t>dx</t>
  </si>
  <si>
    <t>dt</t>
  </si>
  <si>
    <t>set_initial_condition:</t>
  </si>
  <si>
    <t>old_result</t>
  </si>
  <si>
    <t>j</t>
  </si>
  <si>
    <t>x_values</t>
  </si>
  <si>
    <t>step_march:</t>
  </si>
  <si>
    <t>cur_t</t>
  </si>
  <si>
    <t>step</t>
  </si>
  <si>
    <t>new_result[0]</t>
  </si>
  <si>
    <t>new_result[19]</t>
  </si>
  <si>
    <t>calculate_boundary_conditions:</t>
  </si>
  <si>
    <t>calculate_inner_domain:</t>
  </si>
  <si>
    <t>dt_sig</t>
  </si>
  <si>
    <t>diff_coeff</t>
  </si>
  <si>
    <t>conv_coeff</t>
  </si>
  <si>
    <t>zero_coeff</t>
  </si>
  <si>
    <t>source_coeff</t>
  </si>
  <si>
    <t>pde</t>
  </si>
  <si>
    <t>prev_t</t>
  </si>
  <si>
    <t>dt_sig_2</t>
  </si>
  <si>
    <t>alpha</t>
  </si>
  <si>
    <t>beta</t>
  </si>
  <si>
    <t>gamma</t>
  </si>
  <si>
    <t>fdm component</t>
  </si>
  <si>
    <t>A</t>
  </si>
  <si>
    <t>B</t>
  </si>
  <si>
    <t>C</t>
  </si>
  <si>
    <t>D</t>
  </si>
  <si>
    <t>X</t>
  </si>
  <si>
    <t>A_right</t>
  </si>
  <si>
    <t>B_right</t>
  </si>
  <si>
    <t>C_right</t>
  </si>
  <si>
    <t>Left Matrix</t>
  </si>
  <si>
    <t>Right Matrix</t>
  </si>
  <si>
    <t>payoff</t>
  </si>
  <si>
    <t>T-t</t>
  </si>
  <si>
    <t>t</t>
  </si>
  <si>
    <t>index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</si>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</sst>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1" fillId="0" borderId="0" xfId="0" applyFont="1"/>
    <xf numFmtId="2" fontId="1" fillId="2" borderId="1" xfId="0" applyNumberFormat="1" applyFont="1" applyFill="1" applyBorder="1"/>
    <xf numFmtId="0" fontId="1" fillId="3" borderId="1" xfId="0" applyFont="1" applyFill="1" applyBorder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3" borderId="1" xfId="0" applyNumberFormat="1" applyFont="1" applyFill="1" applyBorder="1"/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3" borderId="1" xfId="0" applyNumberFormat="1" applyFont="1" applyFill="1" applyBorder="1"/>
    <xf numFmtId="2" fontId="1" fillId="3" borderId="1" xfId="0" applyNumberFormat="1" applyFont="1" applyFill="1" applyBorder="1"/>
    <xf numFmtId="0" fontId="1" fillId="0" borderId="3" xfId="0" applyFont="1" applyBorder="1" applyAlignment="1">
      <alignment horizontal="center"/>
    </xf>
    <xf numFmtId="165" fontId="1" fillId="3" borderId="1" xfId="0" applyNumberFormat="1" applyFont="1" applyFill="1" applyBorder="1"/>
    <xf numFmtId="2" fontId="1" fillId="0" borderId="0" xfId="0" applyNumberFormat="1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Sheet1!$P$10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Sheet1!$C$11:$C$30</c:f>
              <c:numCache>
                <c:formatCode>General</c:formatCode>
                <c:ptCount val="20"/>
                <c:pt idx="0">
                  <c:v>0</c:v>
                </c:pt>
                <c:pt idx="1">
                  <c:v>5.2631578947368418E-2</c:v>
                </c:pt>
                <c:pt idx="2">
                  <c:v>0.10526315789473684</c:v>
                </c:pt>
                <c:pt idx="3">
                  <c:v>0.15789473684210525</c:v>
                </c:pt>
                <c:pt idx="4">
                  <c:v>0.21052631578947367</c:v>
                </c:pt>
                <c:pt idx="5">
                  <c:v>0.26315789473684209</c:v>
                </c:pt>
                <c:pt idx="6">
                  <c:v>0.31578947368421051</c:v>
                </c:pt>
                <c:pt idx="7">
                  <c:v>0.36842105263157893</c:v>
                </c:pt>
                <c:pt idx="8">
                  <c:v>0.42105263157894735</c:v>
                </c:pt>
                <c:pt idx="9">
                  <c:v>0.47368421052631576</c:v>
                </c:pt>
                <c:pt idx="10">
                  <c:v>0.52631578947368418</c:v>
                </c:pt>
                <c:pt idx="11">
                  <c:v>0.57894736842105265</c:v>
                </c:pt>
                <c:pt idx="12">
                  <c:v>0.63157894736842102</c:v>
                </c:pt>
                <c:pt idx="13">
                  <c:v>0.68421052631578938</c:v>
                </c:pt>
                <c:pt idx="14">
                  <c:v>0.73684210526315785</c:v>
                </c:pt>
                <c:pt idx="15">
                  <c:v>0.78947368421052633</c:v>
                </c:pt>
                <c:pt idx="16">
                  <c:v>0.84210526315789469</c:v>
                </c:pt>
                <c:pt idx="17">
                  <c:v>0.89473684210526305</c:v>
                </c:pt>
                <c:pt idx="18">
                  <c:v>0.94736842105263153</c:v>
                </c:pt>
                <c:pt idx="19">
                  <c:v>1</c:v>
                </c:pt>
              </c:numCache>
            </c:numRef>
          </c:xVal>
          <c:yVal>
            <c:numRef>
              <c:f>Sheet1!$P$11:$P$30</c:f>
              <c:numCache>
                <c:formatCode>General</c:formatCode>
                <c:ptCount val="20"/>
                <c:pt idx="0">
                  <c:v>0</c:v>
                </c:pt>
                <c:pt idx="1">
                  <c:v>1.0729863672856891E-16</c:v>
                </c:pt>
                <c:pt idx="2">
                  <c:v>2.8334240002323471E-14</c:v>
                </c:pt>
                <c:pt idx="3">
                  <c:v>3.2979890886590554E-12</c:v>
                </c:pt>
                <c:pt idx="4">
                  <c:v>2.2944303403590377E-10</c:v>
                </c:pt>
                <c:pt idx="5">
                  <c:v>1.0882479550844218E-8</c:v>
                </c:pt>
                <c:pt idx="6">
                  <c:v>3.797031135554578E-7</c:v>
                </c:pt>
                <c:pt idx="7">
                  <c:v>1.0252206157416763E-5</c:v>
                </c:pt>
                <c:pt idx="8">
                  <c:v>2.2221096537078426E-4</c:v>
                </c:pt>
                <c:pt idx="9">
                  <c:v>3.9761223153761526E-3</c:v>
                </c:pt>
                <c:pt idx="10">
                  <c:v>3.3742250758409822E-2</c:v>
                </c:pt>
                <c:pt idx="11">
                  <c:v>8.550497252339094E-2</c:v>
                </c:pt>
                <c:pt idx="12">
                  <c:v>0.13811557680905806</c:v>
                </c:pt>
                <c:pt idx="13">
                  <c:v>0.19074650074985564</c:v>
                </c:pt>
                <c:pt idx="14">
                  <c:v>0.2433780542359858</c:v>
                </c:pt>
                <c:pt idx="15">
                  <c:v>0.29600963194169272</c:v>
                </c:pt>
                <c:pt idx="16">
                  <c:v>0.34864121049027746</c:v>
                </c:pt>
                <c:pt idx="17">
                  <c:v>0.40127278722127407</c:v>
                </c:pt>
                <c:pt idx="18">
                  <c:v>0.45390435258060696</c:v>
                </c:pt>
                <c:pt idx="19">
                  <c:v>0.5065358540328635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D-4920-90D0-4FDE997BA9E2}"/>
            </c:ext>
          </c:extLst>
        </c:ser>
        <c:ser>
          <c:idx val="1"/>
          <c:order val="1"/>
          <c:tx>
            <c:strRef>
              <c:f>Sheet1!$D$10</c:f>
              <c:strCache>
                <c:ptCount val="1"/>
                <c:pt idx="0">
                  <c:v>old_result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Sheet1!$C$11:$C$30</c:f>
              <c:numCache>
                <c:formatCode>General</c:formatCode>
                <c:ptCount val="20"/>
                <c:pt idx="0">
                  <c:v>0</c:v>
                </c:pt>
                <c:pt idx="1">
                  <c:v>5.2631578947368418E-2</c:v>
                </c:pt>
                <c:pt idx="2">
                  <c:v>0.10526315789473684</c:v>
                </c:pt>
                <c:pt idx="3">
                  <c:v>0.15789473684210525</c:v>
                </c:pt>
                <c:pt idx="4">
                  <c:v>0.21052631578947367</c:v>
                </c:pt>
                <c:pt idx="5">
                  <c:v>0.26315789473684209</c:v>
                </c:pt>
                <c:pt idx="6">
                  <c:v>0.31578947368421051</c:v>
                </c:pt>
                <c:pt idx="7">
                  <c:v>0.36842105263157893</c:v>
                </c:pt>
                <c:pt idx="8">
                  <c:v>0.42105263157894735</c:v>
                </c:pt>
                <c:pt idx="9">
                  <c:v>0.47368421052631576</c:v>
                </c:pt>
                <c:pt idx="10">
                  <c:v>0.52631578947368418</c:v>
                </c:pt>
                <c:pt idx="11">
                  <c:v>0.57894736842105265</c:v>
                </c:pt>
                <c:pt idx="12">
                  <c:v>0.63157894736842102</c:v>
                </c:pt>
                <c:pt idx="13">
                  <c:v>0.68421052631578938</c:v>
                </c:pt>
                <c:pt idx="14">
                  <c:v>0.73684210526315785</c:v>
                </c:pt>
                <c:pt idx="15">
                  <c:v>0.78947368421052633</c:v>
                </c:pt>
                <c:pt idx="16">
                  <c:v>0.84210526315789469</c:v>
                </c:pt>
                <c:pt idx="17">
                  <c:v>0.89473684210526305</c:v>
                </c:pt>
                <c:pt idx="18">
                  <c:v>0.94736842105263153</c:v>
                </c:pt>
                <c:pt idx="19">
                  <c:v>1</c:v>
                </c:pt>
              </c:numCache>
            </c:numRef>
          </c:xVal>
          <c:yVal>
            <c:numRef>
              <c:f>Sheet1!$D$11:$D$30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2.6315789473684181E-2</c:v>
                </c:pt>
                <c:pt idx="11">
                  <c:v>7.8947368421052655E-2</c:v>
                </c:pt>
                <c:pt idx="12">
                  <c:v>0.13157894736842102</c:v>
                </c:pt>
                <c:pt idx="13">
                  <c:v>0.18421052631578938</c:v>
                </c:pt>
                <c:pt idx="14">
                  <c:v>0.23684210526315785</c:v>
                </c:pt>
                <c:pt idx="15">
                  <c:v>0.28947368421052633</c:v>
                </c:pt>
                <c:pt idx="16">
                  <c:v>0.34210526315789469</c:v>
                </c:pt>
                <c:pt idx="17">
                  <c:v>0.39473684210526305</c:v>
                </c:pt>
                <c:pt idx="18">
                  <c:v>0.44736842105263153</c:v>
                </c:pt>
                <c:pt idx="1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6D-4920-90D0-4FDE997BA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732192"/>
        <c:axId val="299735800"/>
      </c:scatterChart>
      <c:valAx>
        <c:axId val="29973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35800"/>
        <c:crosses val="autoZero"/>
        <c:crossBetween val="midCat"/>
      </c:valAx>
      <c:valAx>
        <c:axId val="299735800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3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44</xdr:row>
          <xdr:rowOff>28575</xdr:rowOff>
        </xdr:from>
        <xdr:to>
          <xdr:col>21</xdr:col>
          <xdr:colOff>180975</xdr:colOff>
          <xdr:row>46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9</xdr:row>
          <xdr:rowOff>76200</xdr:rowOff>
        </xdr:from>
        <xdr:to>
          <xdr:col>17</xdr:col>
          <xdr:colOff>495300</xdr:colOff>
          <xdr:row>11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336175</xdr:colOff>
      <xdr:row>6</xdr:row>
      <xdr:rowOff>89648</xdr:rowOff>
    </xdr:from>
    <xdr:to>
      <xdr:col>27</xdr:col>
      <xdr:colOff>179293</xdr:colOff>
      <xdr:row>26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B9939-AA0E-4527-8887-01B44E7F99AE}">
  <sheetPr codeName="Sheet1"/>
  <dimension ref="A1:X63"/>
  <sheetViews>
    <sheetView showGridLines="0" tabSelected="1" zoomScale="85" zoomScaleNormal="85" workbookViewId="0">
      <selection activeCell="P6" sqref="P6"/>
    </sheetView>
  </sheetViews>
  <sheetFormatPr defaultRowHeight="12.75" x14ac:dyDescent="0.2"/>
  <cols>
    <col min="1" max="1" width="13.28515625" style="3" customWidth="1"/>
    <col min="2" max="2" width="9.140625" style="3"/>
    <col min="3" max="3" width="12.42578125" style="3" bestFit="1" customWidth="1"/>
    <col min="4" max="4" width="11.7109375" style="3" customWidth="1"/>
    <col min="5" max="5" width="9.42578125" style="3" bestFit="1" customWidth="1"/>
    <col min="6" max="6" width="11.42578125" style="3" bestFit="1" customWidth="1"/>
    <col min="7" max="8" width="12.42578125" style="3" bestFit="1" customWidth="1"/>
    <col min="9" max="10" width="13.140625" style="3" bestFit="1" customWidth="1"/>
    <col min="11" max="12" width="12.42578125" style="3" bestFit="1" customWidth="1"/>
    <col min="13" max="13" width="9.140625" style="3"/>
    <col min="14" max="14" width="13.140625" style="3" bestFit="1" customWidth="1"/>
    <col min="15" max="16" width="13.140625" style="3" customWidth="1"/>
    <col min="17" max="17" width="12.42578125" style="3" bestFit="1" customWidth="1"/>
    <col min="18" max="18" width="13.140625" style="3" bestFit="1" customWidth="1"/>
    <col min="19" max="16384" width="9.140625" style="3"/>
  </cols>
  <sheetData>
    <row r="1" spans="1:16" x14ac:dyDescent="0.2">
      <c r="A1" s="1" t="s">
        <v>0</v>
      </c>
      <c r="B1" s="4">
        <v>0.5</v>
      </c>
      <c r="D1" s="1" t="s">
        <v>4</v>
      </c>
      <c r="E1" s="4">
        <v>1</v>
      </c>
    </row>
    <row r="2" spans="1:16" x14ac:dyDescent="0.2">
      <c r="A2" s="1" t="s">
        <v>1</v>
      </c>
      <c r="B2" s="4">
        <v>0.25</v>
      </c>
      <c r="D2" s="1" t="s">
        <v>5</v>
      </c>
      <c r="E2" s="2">
        <v>20</v>
      </c>
    </row>
    <row r="3" spans="1:16" x14ac:dyDescent="0.2">
      <c r="A3" s="1" t="s">
        <v>2</v>
      </c>
      <c r="B3" s="4">
        <v>0.2</v>
      </c>
      <c r="D3" s="1" t="s">
        <v>6</v>
      </c>
      <c r="E3" s="4">
        <f>B4</f>
        <v>1</v>
      </c>
    </row>
    <row r="4" spans="1:16" x14ac:dyDescent="0.2">
      <c r="A4" s="1" t="s">
        <v>3</v>
      </c>
      <c r="B4" s="4">
        <v>1</v>
      </c>
      <c r="D4" s="1" t="s">
        <v>7</v>
      </c>
      <c r="E4" s="2">
        <v>20</v>
      </c>
    </row>
    <row r="5" spans="1:16" x14ac:dyDescent="0.2">
      <c r="P5" s="3" t="s">
        <v>47</v>
      </c>
    </row>
    <row r="6" spans="1:16" x14ac:dyDescent="0.2">
      <c r="A6" s="1" t="s">
        <v>8</v>
      </c>
      <c r="B6" s="5">
        <f>E1/(E2-1)</f>
        <v>5.2631578947368418E-2</v>
      </c>
    </row>
    <row r="7" spans="1:16" x14ac:dyDescent="0.2">
      <c r="A7" s="1" t="s">
        <v>9</v>
      </c>
      <c r="B7" s="5">
        <f>E3/(E4-1)</f>
        <v>5.2631578947368418E-2</v>
      </c>
    </row>
    <row r="9" spans="1:16" x14ac:dyDescent="0.2">
      <c r="A9" s="6" t="s">
        <v>10</v>
      </c>
    </row>
    <row r="10" spans="1:16" x14ac:dyDescent="0.2">
      <c r="A10" s="3" t="s">
        <v>11</v>
      </c>
      <c r="B10" s="7" t="s">
        <v>12</v>
      </c>
      <c r="C10" s="7" t="s">
        <v>13</v>
      </c>
      <c r="D10" s="7" t="s">
        <v>11</v>
      </c>
      <c r="F10" s="3" t="s">
        <v>29</v>
      </c>
      <c r="G10" s="3" t="s">
        <v>30</v>
      </c>
      <c r="H10" s="3" t="s">
        <v>31</v>
      </c>
      <c r="I10" s="10" t="s">
        <v>33</v>
      </c>
      <c r="J10" s="10" t="s">
        <v>34</v>
      </c>
      <c r="K10" s="10" t="s">
        <v>35</v>
      </c>
      <c r="L10" s="10" t="s">
        <v>38</v>
      </c>
      <c r="M10" s="10" t="s">
        <v>39</v>
      </c>
      <c r="N10" s="10" t="s">
        <v>40</v>
      </c>
      <c r="O10" s="10" t="s">
        <v>36</v>
      </c>
      <c r="P10" s="1" t="s">
        <v>37</v>
      </c>
    </row>
    <row r="11" spans="1:16" x14ac:dyDescent="0.2">
      <c r="B11" s="1">
        <v>0</v>
      </c>
      <c r="C11" s="5">
        <f>B11*$B$6</f>
        <v>0</v>
      </c>
      <c r="D11" s="8">
        <f>MAX(C11-$B$1,0)</f>
        <v>0</v>
      </c>
      <c r="P11" s="3">
        <f>D11</f>
        <v>0</v>
      </c>
    </row>
    <row r="12" spans="1:16" x14ac:dyDescent="0.2">
      <c r="B12" s="1">
        <v>1</v>
      </c>
      <c r="C12" s="5">
        <f t="shared" ref="C12:C30" si="0">B12*$B$6</f>
        <v>5.2631578947368418E-2</v>
      </c>
      <c r="D12" s="8">
        <f t="shared" ref="D12:D30" si="1">MAX(C12-$B$1,0)</f>
        <v>0</v>
      </c>
      <c r="F12" s="3">
        <f>1/4*B12*$B$7*(B12*$B$3^2-$B$2)</f>
        <v>-2.7631578947368419E-3</v>
      </c>
      <c r="G12" s="3">
        <f>-0.5*$B$7*(B12^2*$B$3^2+$B$2)</f>
        <v>-7.6315789473684215E-3</v>
      </c>
      <c r="H12" s="3">
        <f>1/4*B12*$B$7*(B12*$B$3^2+$B$2)</f>
        <v>3.8157894736842108E-3</v>
      </c>
      <c r="I12" s="3">
        <f>-F12</f>
        <v>2.7631578947368419E-3</v>
      </c>
      <c r="J12" s="3">
        <f>1-G12</f>
        <v>1.0076315789473684</v>
      </c>
      <c r="K12" s="3">
        <f>-H12</f>
        <v>-3.8157894736842108E-3</v>
      </c>
      <c r="L12" s="3">
        <f>F12</f>
        <v>-2.7631578947368419E-3</v>
      </c>
      <c r="M12" s="3">
        <f>1+G12</f>
        <v>0.99236842105263157</v>
      </c>
      <c r="N12" s="3">
        <f>H12</f>
        <v>3.8157894736842108E-3</v>
      </c>
      <c r="O12" s="3">
        <f>MMULT(L12:N12,D11:D13)+B38*F12</f>
        <v>0</v>
      </c>
      <c r="P12" s="3">
        <v>1.0729863672856891E-16</v>
      </c>
    </row>
    <row r="13" spans="1:16" x14ac:dyDescent="0.2">
      <c r="B13" s="1">
        <v>2</v>
      </c>
      <c r="C13" s="5">
        <f t="shared" si="0"/>
        <v>0.10526315789473684</v>
      </c>
      <c r="D13" s="8">
        <f t="shared" si="1"/>
        <v>0</v>
      </c>
      <c r="F13" s="3">
        <f>1/4*B13*$B$7*(B13*$B$3^2-$B$2)</f>
        <v>-4.4736842105263155E-3</v>
      </c>
      <c r="G13" s="3">
        <f t="shared" ref="G13:G29" si="2">-0.5*$B$7*(B13^2*$B$3^2+$B$2)</f>
        <v>-1.0789473684210526E-2</v>
      </c>
      <c r="H13" s="3">
        <f t="shared" ref="H13:H29" si="3">1/4*B13*$B$7*(B13*$B$3^2+$B$2)</f>
        <v>8.6842105263157891E-3</v>
      </c>
      <c r="I13" s="3">
        <f t="shared" ref="I13:I29" si="4">-F13</f>
        <v>4.4736842105263155E-3</v>
      </c>
      <c r="J13" s="3">
        <f t="shared" ref="J13:J29" si="5">1-G13</f>
        <v>1.0107894736842105</v>
      </c>
      <c r="K13" s="3">
        <f t="shared" ref="K13:K29" si="6">-H13</f>
        <v>-8.6842105263157891E-3</v>
      </c>
      <c r="L13" s="3">
        <f t="shared" ref="L13:L29" si="7">F13</f>
        <v>-4.4736842105263155E-3</v>
      </c>
      <c r="M13" s="3">
        <f t="shared" ref="M13:M29" si="8">1+G13</f>
        <v>0.98921052631578943</v>
      </c>
      <c r="N13" s="3">
        <f t="shared" ref="N13:N29" si="9">H13</f>
        <v>8.6842105263157891E-3</v>
      </c>
      <c r="O13" s="3">
        <f>MMULT(L13:N13,D12:D14)</f>
        <v>0</v>
      </c>
      <c r="P13" s="3">
        <v>2.8334240002323471E-14</v>
      </c>
    </row>
    <row r="14" spans="1:16" x14ac:dyDescent="0.2">
      <c r="B14" s="1">
        <v>3</v>
      </c>
      <c r="C14" s="5">
        <f t="shared" si="0"/>
        <v>0.15789473684210525</v>
      </c>
      <c r="D14" s="8">
        <f t="shared" si="1"/>
        <v>0</v>
      </c>
      <c r="F14" s="3">
        <f t="shared" ref="F14:F29" si="10">1/4*B14*$B$7*(B14*$B$3^2-$B$2)</f>
        <v>-5.1315789473684202E-3</v>
      </c>
      <c r="G14" s="3">
        <f t="shared" si="2"/>
        <v>-1.605263157894737E-2</v>
      </c>
      <c r="H14" s="3">
        <f t="shared" si="3"/>
        <v>1.4605263157894736E-2</v>
      </c>
      <c r="I14" s="3">
        <f t="shared" si="4"/>
        <v>5.1315789473684202E-3</v>
      </c>
      <c r="J14" s="3">
        <f t="shared" si="5"/>
        <v>1.0160526315789473</v>
      </c>
      <c r="K14" s="3">
        <f t="shared" si="6"/>
        <v>-1.4605263157894736E-2</v>
      </c>
      <c r="L14" s="3">
        <f t="shared" si="7"/>
        <v>-5.1315789473684202E-3</v>
      </c>
      <c r="M14" s="3">
        <f t="shared" si="8"/>
        <v>0.98394736842105268</v>
      </c>
      <c r="N14" s="3">
        <f t="shared" si="9"/>
        <v>1.4605263157894736E-2</v>
      </c>
      <c r="O14" s="3">
        <f t="shared" ref="O14:O28" si="11">MMULT(L14:N14,D13:D15)</f>
        <v>0</v>
      </c>
      <c r="P14" s="3">
        <v>3.2979890886590554E-12</v>
      </c>
    </row>
    <row r="15" spans="1:16" x14ac:dyDescent="0.2">
      <c r="B15" s="1">
        <v>4</v>
      </c>
      <c r="C15" s="5">
        <f t="shared" si="0"/>
        <v>0.21052631578947367</v>
      </c>
      <c r="D15" s="8">
        <f t="shared" si="1"/>
        <v>0</v>
      </c>
      <c r="F15" s="3">
        <f t="shared" si="10"/>
        <v>-4.7368421052631556E-3</v>
      </c>
      <c r="G15" s="3">
        <f t="shared" si="2"/>
        <v>-2.342105263157895E-2</v>
      </c>
      <c r="H15" s="3">
        <f t="shared" si="3"/>
        <v>2.1578947368421052E-2</v>
      </c>
      <c r="I15" s="3">
        <f t="shared" si="4"/>
        <v>4.7368421052631556E-3</v>
      </c>
      <c r="J15" s="3">
        <f t="shared" si="5"/>
        <v>1.023421052631579</v>
      </c>
      <c r="K15" s="3">
        <f t="shared" si="6"/>
        <v>-2.1578947368421052E-2</v>
      </c>
      <c r="L15" s="3">
        <f t="shared" si="7"/>
        <v>-4.7368421052631556E-3</v>
      </c>
      <c r="M15" s="3">
        <f t="shared" si="8"/>
        <v>0.9765789473684211</v>
      </c>
      <c r="N15" s="3">
        <f t="shared" si="9"/>
        <v>2.1578947368421052E-2</v>
      </c>
      <c r="O15" s="3">
        <f t="shared" si="11"/>
        <v>0</v>
      </c>
      <c r="P15" s="3">
        <v>2.2944303403590377E-10</v>
      </c>
    </row>
    <row r="16" spans="1:16" x14ac:dyDescent="0.2">
      <c r="B16" s="1">
        <v>5</v>
      </c>
      <c r="C16" s="5">
        <f t="shared" si="0"/>
        <v>0.26315789473684209</v>
      </c>
      <c r="D16" s="8">
        <f t="shared" si="1"/>
        <v>0</v>
      </c>
      <c r="F16" s="3">
        <f t="shared" si="10"/>
        <v>-3.2894736842105235E-3</v>
      </c>
      <c r="G16" s="3">
        <f t="shared" si="2"/>
        <v>-3.2894736842105268E-2</v>
      </c>
      <c r="H16" s="3">
        <f t="shared" si="3"/>
        <v>2.9605263157894739E-2</v>
      </c>
      <c r="I16" s="3">
        <f t="shared" si="4"/>
        <v>3.2894736842105235E-3</v>
      </c>
      <c r="J16" s="3">
        <f t="shared" si="5"/>
        <v>1.0328947368421053</v>
      </c>
      <c r="K16" s="3">
        <f t="shared" si="6"/>
        <v>-2.9605263157894739E-2</v>
      </c>
      <c r="L16" s="3">
        <f t="shared" si="7"/>
        <v>-3.2894736842105235E-3</v>
      </c>
      <c r="M16" s="3">
        <f t="shared" si="8"/>
        <v>0.96710526315789469</v>
      </c>
      <c r="N16" s="3">
        <f t="shared" si="9"/>
        <v>2.9605263157894739E-2</v>
      </c>
      <c r="O16" s="3">
        <f t="shared" si="11"/>
        <v>0</v>
      </c>
      <c r="P16" s="3">
        <v>1.0882479550844218E-8</v>
      </c>
    </row>
    <row r="17" spans="1:16" x14ac:dyDescent="0.2">
      <c r="B17" s="1">
        <v>6</v>
      </c>
      <c r="C17" s="5">
        <f t="shared" si="0"/>
        <v>0.31578947368421051</v>
      </c>
      <c r="D17" s="8">
        <f t="shared" si="1"/>
        <v>0</v>
      </c>
      <c r="F17" s="3">
        <f t="shared" si="10"/>
        <v>-7.8947368421052261E-4</v>
      </c>
      <c r="G17" s="3">
        <f t="shared" si="2"/>
        <v>-4.4473684210526325E-2</v>
      </c>
      <c r="H17" s="3">
        <f t="shared" si="3"/>
        <v>3.8684210526315793E-2</v>
      </c>
      <c r="I17" s="3">
        <f t="shared" si="4"/>
        <v>7.8947368421052261E-4</v>
      </c>
      <c r="J17" s="3">
        <f t="shared" si="5"/>
        <v>1.0444736842105262</v>
      </c>
      <c r="K17" s="3">
        <f t="shared" si="6"/>
        <v>-3.8684210526315793E-2</v>
      </c>
      <c r="L17" s="3">
        <f t="shared" si="7"/>
        <v>-7.8947368421052261E-4</v>
      </c>
      <c r="M17" s="3">
        <f t="shared" si="8"/>
        <v>0.95552631578947367</v>
      </c>
      <c r="N17" s="3">
        <f t="shared" si="9"/>
        <v>3.8684210526315793E-2</v>
      </c>
      <c r="O17" s="3">
        <f t="shared" si="11"/>
        <v>0</v>
      </c>
      <c r="P17" s="3">
        <v>3.797031135554578E-7</v>
      </c>
    </row>
    <row r="18" spans="1:16" x14ac:dyDescent="0.2">
      <c r="B18" s="1">
        <v>7</v>
      </c>
      <c r="C18" s="5">
        <f t="shared" si="0"/>
        <v>0.36842105263157893</v>
      </c>
      <c r="D18" s="8">
        <f t="shared" si="1"/>
        <v>0</v>
      </c>
      <c r="F18" s="3">
        <f t="shared" si="10"/>
        <v>2.7631578947368445E-3</v>
      </c>
      <c r="G18" s="3">
        <f t="shared" si="2"/>
        <v>-5.815789473684211E-2</v>
      </c>
      <c r="H18" s="3">
        <f t="shared" si="3"/>
        <v>4.8815789473684208E-2</v>
      </c>
      <c r="I18" s="3">
        <f t="shared" si="4"/>
        <v>-2.7631578947368445E-3</v>
      </c>
      <c r="J18" s="3">
        <f t="shared" si="5"/>
        <v>1.0581578947368422</v>
      </c>
      <c r="K18" s="3">
        <f t="shared" si="6"/>
        <v>-4.8815789473684208E-2</v>
      </c>
      <c r="L18" s="3">
        <f t="shared" si="7"/>
        <v>2.7631578947368445E-3</v>
      </c>
      <c r="M18" s="3">
        <f t="shared" si="8"/>
        <v>0.94184210526315792</v>
      </c>
      <c r="N18" s="3">
        <f t="shared" si="9"/>
        <v>4.8815789473684208E-2</v>
      </c>
      <c r="O18" s="3">
        <f t="shared" si="11"/>
        <v>0</v>
      </c>
      <c r="P18" s="3">
        <v>1.0252206157416763E-5</v>
      </c>
    </row>
    <row r="19" spans="1:16" x14ac:dyDescent="0.2">
      <c r="B19" s="1">
        <v>8</v>
      </c>
      <c r="C19" s="5">
        <f t="shared" si="0"/>
        <v>0.42105263157894735</v>
      </c>
      <c r="D19" s="8">
        <f t="shared" si="1"/>
        <v>0</v>
      </c>
      <c r="F19" s="3">
        <f t="shared" si="10"/>
        <v>7.3684210526315849E-3</v>
      </c>
      <c r="G19" s="3">
        <f t="shared" si="2"/>
        <v>-7.3947368421052637E-2</v>
      </c>
      <c r="H19" s="3">
        <f t="shared" si="3"/>
        <v>6.0000000000000005E-2</v>
      </c>
      <c r="I19" s="3">
        <f t="shared" si="4"/>
        <v>-7.3684210526315849E-3</v>
      </c>
      <c r="J19" s="3">
        <f t="shared" si="5"/>
        <v>1.0739473684210525</v>
      </c>
      <c r="K19" s="3">
        <f t="shared" si="6"/>
        <v>-6.0000000000000005E-2</v>
      </c>
      <c r="L19" s="3">
        <f t="shared" si="7"/>
        <v>7.3684210526315849E-3</v>
      </c>
      <c r="M19" s="3">
        <f t="shared" si="8"/>
        <v>0.92605263157894735</v>
      </c>
      <c r="N19" s="3">
        <f t="shared" si="9"/>
        <v>6.0000000000000005E-2</v>
      </c>
      <c r="O19" s="3">
        <f t="shared" si="11"/>
        <v>0</v>
      </c>
      <c r="P19" s="3">
        <v>2.2221096537078426E-4</v>
      </c>
    </row>
    <row r="20" spans="1:16" x14ac:dyDescent="0.2">
      <c r="B20" s="1">
        <v>9</v>
      </c>
      <c r="C20" s="5">
        <f t="shared" si="0"/>
        <v>0.47368421052631576</v>
      </c>
      <c r="D20" s="8">
        <f t="shared" si="1"/>
        <v>0</v>
      </c>
      <c r="F20" s="3">
        <f t="shared" si="10"/>
        <v>1.3026315789473695E-2</v>
      </c>
      <c r="G20" s="3">
        <f t="shared" si="2"/>
        <v>-9.1842105263157905E-2</v>
      </c>
      <c r="H20" s="3">
        <f t="shared" si="3"/>
        <v>7.2236842105263169E-2</v>
      </c>
      <c r="I20" s="3">
        <f t="shared" si="4"/>
        <v>-1.3026315789473695E-2</v>
      </c>
      <c r="J20" s="3">
        <f t="shared" si="5"/>
        <v>1.0918421052631579</v>
      </c>
      <c r="K20" s="3">
        <f t="shared" si="6"/>
        <v>-7.2236842105263169E-2</v>
      </c>
      <c r="L20" s="3">
        <f t="shared" si="7"/>
        <v>1.3026315789473695E-2</v>
      </c>
      <c r="M20" s="3">
        <f t="shared" si="8"/>
        <v>0.90815789473684205</v>
      </c>
      <c r="N20" s="3">
        <f t="shared" si="9"/>
        <v>7.2236842105263169E-2</v>
      </c>
      <c r="O20" s="3">
        <f t="shared" si="11"/>
        <v>1.9009695290858708E-3</v>
      </c>
      <c r="P20" s="3">
        <v>3.9761223153761526E-3</v>
      </c>
    </row>
    <row r="21" spans="1:16" x14ac:dyDescent="0.2">
      <c r="B21" s="1">
        <v>10</v>
      </c>
      <c r="C21" s="5">
        <f t="shared" si="0"/>
        <v>0.52631578947368418</v>
      </c>
      <c r="D21" s="8">
        <f t="shared" si="1"/>
        <v>2.6315789473684181E-2</v>
      </c>
      <c r="F21" s="3">
        <f t="shared" si="10"/>
        <v>1.9736842105263167E-2</v>
      </c>
      <c r="G21" s="3">
        <f t="shared" si="2"/>
        <v>-0.11184210526315791</v>
      </c>
      <c r="H21" s="3">
        <f t="shared" si="3"/>
        <v>8.55263157894737E-2</v>
      </c>
      <c r="I21" s="3">
        <f t="shared" si="4"/>
        <v>-1.9736842105263167E-2</v>
      </c>
      <c r="J21" s="3">
        <f t="shared" si="5"/>
        <v>1.111842105263158</v>
      </c>
      <c r="K21" s="3">
        <f t="shared" si="6"/>
        <v>-8.55263157894737E-2</v>
      </c>
      <c r="L21" s="3">
        <f t="shared" si="7"/>
        <v>1.9736842105263167E-2</v>
      </c>
      <c r="M21" s="3">
        <f t="shared" si="8"/>
        <v>0.88815789473684204</v>
      </c>
      <c r="N21" s="3">
        <f t="shared" si="9"/>
        <v>8.55263157894737E-2</v>
      </c>
      <c r="O21" s="3">
        <f t="shared" si="11"/>
        <v>3.0124653739612164E-2</v>
      </c>
      <c r="P21" s="3">
        <v>3.3742250758409822E-2</v>
      </c>
    </row>
    <row r="22" spans="1:16" x14ac:dyDescent="0.2">
      <c r="B22" s="1">
        <v>11</v>
      </c>
      <c r="C22" s="5">
        <f t="shared" si="0"/>
        <v>0.57894736842105265</v>
      </c>
      <c r="D22" s="8">
        <f t="shared" si="1"/>
        <v>7.8947368421052655E-2</v>
      </c>
      <c r="F22" s="3">
        <f t="shared" si="10"/>
        <v>2.7500000000000011E-2</v>
      </c>
      <c r="G22" s="3">
        <f t="shared" si="2"/>
        <v>-0.13394736842105265</v>
      </c>
      <c r="H22" s="3">
        <f t="shared" si="3"/>
        <v>9.9868421052631592E-2</v>
      </c>
      <c r="I22" s="3">
        <f t="shared" si="4"/>
        <v>-2.7500000000000011E-2</v>
      </c>
      <c r="J22" s="3">
        <f t="shared" si="5"/>
        <v>1.1339473684210526</v>
      </c>
      <c r="K22" s="3">
        <f t="shared" si="6"/>
        <v>-9.9868421052631592E-2</v>
      </c>
      <c r="L22" s="3">
        <f t="shared" si="7"/>
        <v>2.7500000000000011E-2</v>
      </c>
      <c r="M22" s="3">
        <f t="shared" si="8"/>
        <v>0.86605263157894741</v>
      </c>
      <c r="N22" s="3">
        <f t="shared" si="9"/>
        <v>9.9868421052631592E-2</v>
      </c>
      <c r="O22" s="3">
        <f t="shared" si="11"/>
        <v>8.2236842105263191E-2</v>
      </c>
      <c r="P22" s="3">
        <v>8.550497252339094E-2</v>
      </c>
    </row>
    <row r="23" spans="1:16" x14ac:dyDescent="0.2">
      <c r="B23" s="1">
        <v>12</v>
      </c>
      <c r="C23" s="5">
        <f t="shared" si="0"/>
        <v>0.63157894736842102</v>
      </c>
      <c r="D23" s="8">
        <f t="shared" si="1"/>
        <v>0.13157894736842102</v>
      </c>
      <c r="F23" s="3">
        <f t="shared" si="10"/>
        <v>3.6315789473684225E-2</v>
      </c>
      <c r="G23" s="3">
        <f t="shared" si="2"/>
        <v>-0.15815789473684214</v>
      </c>
      <c r="H23" s="3">
        <f t="shared" si="3"/>
        <v>0.11526315789473685</v>
      </c>
      <c r="I23" s="3">
        <f t="shared" si="4"/>
        <v>-3.6315789473684225E-2</v>
      </c>
      <c r="J23" s="3">
        <f t="shared" si="5"/>
        <v>1.1581578947368421</v>
      </c>
      <c r="K23" s="3">
        <f t="shared" si="6"/>
        <v>-0.11526315789473685</v>
      </c>
      <c r="L23" s="3">
        <f t="shared" si="7"/>
        <v>3.6315789473684225E-2</v>
      </c>
      <c r="M23" s="3">
        <f t="shared" si="8"/>
        <v>0.84184210526315784</v>
      </c>
      <c r="N23" s="3">
        <f t="shared" si="9"/>
        <v>0.11526315789473685</v>
      </c>
      <c r="O23" s="3">
        <f t="shared" si="11"/>
        <v>0.13486842105263153</v>
      </c>
      <c r="P23" s="3">
        <v>0.13811557680905806</v>
      </c>
    </row>
    <row r="24" spans="1:16" x14ac:dyDescent="0.2">
      <c r="B24" s="1">
        <v>13</v>
      </c>
      <c r="C24" s="5">
        <f t="shared" si="0"/>
        <v>0.68421052631578938</v>
      </c>
      <c r="D24" s="8">
        <f t="shared" si="1"/>
        <v>0.18421052631578938</v>
      </c>
      <c r="F24" s="3">
        <f t="shared" si="10"/>
        <v>4.6184210526315807E-2</v>
      </c>
      <c r="G24" s="3">
        <f t="shared" si="2"/>
        <v>-0.18447368421052635</v>
      </c>
      <c r="H24" s="3">
        <f t="shared" si="3"/>
        <v>0.13171052631578947</v>
      </c>
      <c r="I24" s="3">
        <f t="shared" si="4"/>
        <v>-4.6184210526315807E-2</v>
      </c>
      <c r="J24" s="3">
        <f t="shared" si="5"/>
        <v>1.1844736842105263</v>
      </c>
      <c r="K24" s="3">
        <f t="shared" si="6"/>
        <v>-0.13171052631578947</v>
      </c>
      <c r="L24" s="3">
        <f t="shared" si="7"/>
        <v>4.6184210526315807E-2</v>
      </c>
      <c r="M24" s="3">
        <f t="shared" si="8"/>
        <v>0.81552631578947365</v>
      </c>
      <c r="N24" s="3">
        <f t="shared" si="9"/>
        <v>0.13171052631578947</v>
      </c>
      <c r="O24" s="3">
        <f t="shared" si="11"/>
        <v>0.18749999999999992</v>
      </c>
      <c r="P24" s="3">
        <v>0.19074650074985564</v>
      </c>
    </row>
    <row r="25" spans="1:16" x14ac:dyDescent="0.2">
      <c r="B25" s="1">
        <v>14</v>
      </c>
      <c r="C25" s="5">
        <f t="shared" si="0"/>
        <v>0.73684210526315785</v>
      </c>
      <c r="D25" s="8">
        <f t="shared" si="1"/>
        <v>0.23684210526315785</v>
      </c>
      <c r="F25" s="3">
        <f t="shared" si="10"/>
        <v>5.7105263157894742E-2</v>
      </c>
      <c r="G25" s="3">
        <f t="shared" si="2"/>
        <v>-0.2128947368421053</v>
      </c>
      <c r="H25" s="3">
        <f t="shared" si="3"/>
        <v>0.14921052631578949</v>
      </c>
      <c r="I25" s="3">
        <f t="shared" si="4"/>
        <v>-5.7105263157894742E-2</v>
      </c>
      <c r="J25" s="3">
        <f t="shared" si="5"/>
        <v>1.2128947368421052</v>
      </c>
      <c r="K25" s="3">
        <f t="shared" si="6"/>
        <v>-0.14921052631578949</v>
      </c>
      <c r="L25" s="3">
        <f t="shared" si="7"/>
        <v>5.7105263157894742E-2</v>
      </c>
      <c r="M25" s="3">
        <f t="shared" si="8"/>
        <v>0.78710526315789475</v>
      </c>
      <c r="N25" s="3">
        <f t="shared" si="9"/>
        <v>0.14921052631578949</v>
      </c>
      <c r="O25" s="3">
        <f t="shared" si="11"/>
        <v>0.24013157894736839</v>
      </c>
      <c r="P25" s="3">
        <v>0.2433780542359858</v>
      </c>
    </row>
    <row r="26" spans="1:16" x14ac:dyDescent="0.2">
      <c r="B26" s="1">
        <v>15</v>
      </c>
      <c r="C26" s="5">
        <f t="shared" si="0"/>
        <v>0.78947368421052633</v>
      </c>
      <c r="D26" s="8">
        <f t="shared" si="1"/>
        <v>0.28947368421052633</v>
      </c>
      <c r="F26" s="3">
        <f t="shared" si="10"/>
        <v>6.9078947368421073E-2</v>
      </c>
      <c r="G26" s="3">
        <f t="shared" si="2"/>
        <v>-0.24342105263157898</v>
      </c>
      <c r="H26" s="3">
        <f t="shared" si="3"/>
        <v>0.16776315789473686</v>
      </c>
      <c r="I26" s="3">
        <f t="shared" si="4"/>
        <v>-6.9078947368421073E-2</v>
      </c>
      <c r="J26" s="3">
        <f t="shared" si="5"/>
        <v>1.243421052631579</v>
      </c>
      <c r="K26" s="3">
        <f t="shared" si="6"/>
        <v>-0.16776315789473686</v>
      </c>
      <c r="L26" s="3">
        <f t="shared" si="7"/>
        <v>6.9078947368421073E-2</v>
      </c>
      <c r="M26" s="3">
        <f t="shared" si="8"/>
        <v>0.75657894736842102</v>
      </c>
      <c r="N26" s="3">
        <f t="shared" si="9"/>
        <v>0.16776315789473686</v>
      </c>
      <c r="O26" s="3">
        <f t="shared" si="11"/>
        <v>0.29276315789473684</v>
      </c>
      <c r="P26" s="3">
        <v>0.29600963194169272</v>
      </c>
    </row>
    <row r="27" spans="1:16" x14ac:dyDescent="0.2">
      <c r="B27" s="1">
        <v>16</v>
      </c>
      <c r="C27" s="5">
        <f t="shared" si="0"/>
        <v>0.84210526315789469</v>
      </c>
      <c r="D27" s="8">
        <f t="shared" si="1"/>
        <v>0.34210526315789469</v>
      </c>
      <c r="F27" s="3">
        <f t="shared" si="10"/>
        <v>8.2105263157894764E-2</v>
      </c>
      <c r="G27" s="3">
        <f t="shared" si="2"/>
        <v>-0.27605263157894738</v>
      </c>
      <c r="H27" s="3">
        <f t="shared" si="3"/>
        <v>0.1873684210526316</v>
      </c>
      <c r="I27" s="3">
        <f t="shared" si="4"/>
        <v>-8.2105263157894764E-2</v>
      </c>
      <c r="J27" s="3">
        <f t="shared" si="5"/>
        <v>1.2760526315789473</v>
      </c>
      <c r="K27" s="3">
        <f t="shared" si="6"/>
        <v>-0.1873684210526316</v>
      </c>
      <c r="L27" s="3">
        <f t="shared" si="7"/>
        <v>8.2105263157894764E-2</v>
      </c>
      <c r="M27" s="3">
        <f t="shared" si="8"/>
        <v>0.72394736842105267</v>
      </c>
      <c r="N27" s="3">
        <f t="shared" si="9"/>
        <v>0.1873684210526316</v>
      </c>
      <c r="O27" s="3">
        <f t="shared" si="11"/>
        <v>0.34539473684210525</v>
      </c>
      <c r="P27" s="3">
        <v>0.34864121049027746</v>
      </c>
    </row>
    <row r="28" spans="1:16" x14ac:dyDescent="0.2">
      <c r="B28" s="1">
        <v>17</v>
      </c>
      <c r="C28" s="5">
        <f t="shared" si="0"/>
        <v>0.89473684210526305</v>
      </c>
      <c r="D28" s="8">
        <f t="shared" si="1"/>
        <v>0.39473684210526305</v>
      </c>
      <c r="F28" s="3">
        <f t="shared" si="10"/>
        <v>9.6184210526315816E-2</v>
      </c>
      <c r="G28" s="3">
        <f t="shared" si="2"/>
        <v>-0.31078947368421056</v>
      </c>
      <c r="H28" s="3">
        <f t="shared" si="3"/>
        <v>0.2080263157894737</v>
      </c>
      <c r="I28" s="3">
        <f t="shared" si="4"/>
        <v>-9.6184210526315816E-2</v>
      </c>
      <c r="J28" s="3">
        <f t="shared" si="5"/>
        <v>1.3107894736842105</v>
      </c>
      <c r="K28" s="3">
        <f t="shared" si="6"/>
        <v>-0.2080263157894737</v>
      </c>
      <c r="L28" s="3">
        <f t="shared" si="7"/>
        <v>9.6184210526315816E-2</v>
      </c>
      <c r="M28" s="3">
        <f t="shared" si="8"/>
        <v>0.6892105263157895</v>
      </c>
      <c r="N28" s="3">
        <f t="shared" si="9"/>
        <v>0.2080263157894737</v>
      </c>
      <c r="O28" s="3">
        <f t="shared" si="11"/>
        <v>0.39802631578947367</v>
      </c>
      <c r="P28" s="3">
        <v>0.40127278722127407</v>
      </c>
    </row>
    <row r="29" spans="1:16" x14ac:dyDescent="0.2">
      <c r="B29" s="1">
        <v>18</v>
      </c>
      <c r="C29" s="5">
        <f t="shared" si="0"/>
        <v>0.94736842105263153</v>
      </c>
      <c r="D29" s="8">
        <f t="shared" si="1"/>
        <v>0.44736842105263153</v>
      </c>
      <c r="F29" s="3">
        <f t="shared" si="10"/>
        <v>0.11131578947368426</v>
      </c>
      <c r="G29" s="3">
        <f t="shared" si="2"/>
        <v>-0.34763157894736846</v>
      </c>
      <c r="H29" s="3">
        <f t="shared" si="3"/>
        <v>0.22973684210526318</v>
      </c>
      <c r="I29" s="3">
        <f t="shared" si="4"/>
        <v>-0.11131578947368426</v>
      </c>
      <c r="J29" s="3">
        <f t="shared" si="5"/>
        <v>1.3476315789473685</v>
      </c>
      <c r="K29" s="3">
        <f t="shared" si="6"/>
        <v>-0.22973684210526318</v>
      </c>
      <c r="L29" s="3">
        <f t="shared" si="7"/>
        <v>0.11131578947368426</v>
      </c>
      <c r="M29" s="3">
        <f t="shared" si="8"/>
        <v>0.65236842105263149</v>
      </c>
      <c r="N29" s="3">
        <f t="shared" si="9"/>
        <v>0.22973684210526318</v>
      </c>
      <c r="O29" s="3">
        <f>MMULT(L29:N29,D28:D30)+B39*H29</f>
        <v>0.56702784225544467</v>
      </c>
      <c r="P29" s="3">
        <v>0.45390435258060696</v>
      </c>
    </row>
    <row r="30" spans="1:16" x14ac:dyDescent="0.2">
      <c r="B30" s="1">
        <v>19</v>
      </c>
      <c r="C30" s="5">
        <f t="shared" si="0"/>
        <v>1</v>
      </c>
      <c r="D30" s="8">
        <f t="shared" si="1"/>
        <v>0.5</v>
      </c>
      <c r="P30" s="3">
        <f>B39</f>
        <v>0.5065358540328635</v>
      </c>
    </row>
    <row r="32" spans="1:16" x14ac:dyDescent="0.2">
      <c r="A32" s="6" t="s">
        <v>14</v>
      </c>
    </row>
    <row r="33" spans="1:24" x14ac:dyDescent="0.2">
      <c r="A33" s="1" t="s">
        <v>16</v>
      </c>
      <c r="B33" s="5">
        <v>0</v>
      </c>
    </row>
    <row r="34" spans="1:24" x14ac:dyDescent="0.2">
      <c r="A34" s="1" t="s">
        <v>27</v>
      </c>
      <c r="B34" s="5">
        <v>0</v>
      </c>
    </row>
    <row r="35" spans="1:24" x14ac:dyDescent="0.2">
      <c r="A35" s="1" t="s">
        <v>15</v>
      </c>
      <c r="B35" s="5">
        <f>B34+$B$7</f>
        <v>5.2631578947368418E-2</v>
      </c>
    </row>
    <row r="36" spans="1:24" x14ac:dyDescent="0.2">
      <c r="D36" s="3" t="s">
        <v>46</v>
      </c>
      <c r="E36" s="3">
        <v>0</v>
      </c>
      <c r="F36" s="3">
        <v>1</v>
      </c>
      <c r="G36" s="3">
        <v>2</v>
      </c>
      <c r="H36" s="3">
        <v>3</v>
      </c>
      <c r="I36" s="3">
        <v>4</v>
      </c>
      <c r="J36" s="3">
        <v>5</v>
      </c>
      <c r="K36" s="3">
        <v>6</v>
      </c>
      <c r="L36" s="3">
        <v>7</v>
      </c>
      <c r="M36" s="3">
        <v>8</v>
      </c>
      <c r="N36" s="3">
        <v>9</v>
      </c>
      <c r="O36" s="3">
        <v>10</v>
      </c>
      <c r="P36" s="3">
        <v>11</v>
      </c>
      <c r="Q36" s="3">
        <v>12</v>
      </c>
      <c r="R36" s="3">
        <v>13</v>
      </c>
      <c r="S36" s="3">
        <v>14</v>
      </c>
      <c r="T36" s="3">
        <v>15</v>
      </c>
      <c r="U36" s="3">
        <v>16</v>
      </c>
      <c r="V36" s="3">
        <v>17</v>
      </c>
      <c r="W36" s="3">
        <v>18</v>
      </c>
      <c r="X36" s="3">
        <v>19</v>
      </c>
    </row>
    <row r="37" spans="1:24" x14ac:dyDescent="0.2">
      <c r="A37" s="6" t="s">
        <v>19</v>
      </c>
      <c r="D37" s="3" t="s">
        <v>45</v>
      </c>
      <c r="E37" s="3">
        <f>$B$7*E36</f>
        <v>0</v>
      </c>
      <c r="F37" s="3">
        <f t="shared" ref="F37:X37" si="12">$B$7*F36</f>
        <v>5.2631578947368418E-2</v>
      </c>
      <c r="G37" s="3">
        <f t="shared" si="12"/>
        <v>0.10526315789473684</v>
      </c>
      <c r="H37" s="3">
        <f t="shared" si="12"/>
        <v>0.15789473684210525</v>
      </c>
      <c r="I37" s="3">
        <f t="shared" si="12"/>
        <v>0.21052631578947367</v>
      </c>
      <c r="J37" s="3">
        <f t="shared" si="12"/>
        <v>0.26315789473684209</v>
      </c>
      <c r="K37" s="3">
        <f t="shared" si="12"/>
        <v>0.31578947368421051</v>
      </c>
      <c r="L37" s="3">
        <f t="shared" si="12"/>
        <v>0.36842105263157893</v>
      </c>
      <c r="M37" s="3">
        <f t="shared" si="12"/>
        <v>0.42105263157894735</v>
      </c>
      <c r="N37" s="3">
        <f t="shared" si="12"/>
        <v>0.47368421052631576</v>
      </c>
      <c r="O37" s="3">
        <f t="shared" si="12"/>
        <v>0.52631578947368418</v>
      </c>
      <c r="P37" s="3">
        <f t="shared" si="12"/>
        <v>0.57894736842105265</v>
      </c>
      <c r="Q37" s="3">
        <f t="shared" si="12"/>
        <v>0.63157894736842102</v>
      </c>
      <c r="R37" s="3">
        <f t="shared" si="12"/>
        <v>0.68421052631578938</v>
      </c>
      <c r="S37" s="3">
        <f t="shared" si="12"/>
        <v>0.73684210526315785</v>
      </c>
      <c r="T37" s="3">
        <f t="shared" si="12"/>
        <v>0.78947368421052633</v>
      </c>
      <c r="U37" s="3">
        <f t="shared" si="12"/>
        <v>0.84210526315789469</v>
      </c>
      <c r="V37" s="3">
        <f t="shared" si="12"/>
        <v>0.89473684210526305</v>
      </c>
      <c r="W37" s="3">
        <f t="shared" si="12"/>
        <v>0.94736842105263153</v>
      </c>
      <c r="X37" s="3">
        <f t="shared" si="12"/>
        <v>1</v>
      </c>
    </row>
    <row r="38" spans="1:24" x14ac:dyDescent="0.2">
      <c r="A38" s="1" t="s">
        <v>17</v>
      </c>
      <c r="B38" s="5">
        <v>0</v>
      </c>
      <c r="D38" s="3" t="s">
        <v>44</v>
      </c>
      <c r="E38" s="15">
        <f>$B$4-E37</f>
        <v>1</v>
      </c>
      <c r="F38" s="15">
        <f t="shared" ref="F38:X38" si="13">$B$4-F37</f>
        <v>0.94736842105263164</v>
      </c>
      <c r="G38" s="15">
        <f t="shared" si="13"/>
        <v>0.89473684210526316</v>
      </c>
      <c r="H38" s="15">
        <f t="shared" si="13"/>
        <v>0.84210526315789469</v>
      </c>
      <c r="I38" s="15">
        <f t="shared" si="13"/>
        <v>0.78947368421052633</v>
      </c>
      <c r="J38" s="15">
        <f t="shared" si="13"/>
        <v>0.73684210526315796</v>
      </c>
      <c r="K38" s="15">
        <f t="shared" si="13"/>
        <v>0.68421052631578949</v>
      </c>
      <c r="L38" s="15">
        <f t="shared" si="13"/>
        <v>0.63157894736842102</v>
      </c>
      <c r="M38" s="15">
        <f t="shared" si="13"/>
        <v>0.57894736842105265</v>
      </c>
      <c r="N38" s="15">
        <f t="shared" si="13"/>
        <v>0.52631578947368429</v>
      </c>
      <c r="O38" s="15">
        <f t="shared" si="13"/>
        <v>0.47368421052631582</v>
      </c>
      <c r="P38" s="15">
        <f t="shared" si="13"/>
        <v>0.42105263157894735</v>
      </c>
      <c r="Q38" s="15">
        <f t="shared" si="13"/>
        <v>0.36842105263157898</v>
      </c>
      <c r="R38" s="15">
        <f t="shared" si="13"/>
        <v>0.31578947368421062</v>
      </c>
      <c r="S38" s="15">
        <f t="shared" si="13"/>
        <v>0.26315789473684215</v>
      </c>
      <c r="T38" s="15">
        <f t="shared" si="13"/>
        <v>0.21052631578947367</v>
      </c>
      <c r="U38" s="15">
        <f t="shared" si="13"/>
        <v>0.15789473684210531</v>
      </c>
      <c r="V38" s="15">
        <f t="shared" si="13"/>
        <v>0.10526315789473695</v>
      </c>
      <c r="W38" s="15">
        <f t="shared" si="13"/>
        <v>5.2631578947368474E-2</v>
      </c>
      <c r="X38" s="15">
        <f t="shared" si="13"/>
        <v>0</v>
      </c>
    </row>
    <row r="39" spans="1:24" x14ac:dyDescent="0.2">
      <c r="A39" s="1" t="s">
        <v>18</v>
      </c>
      <c r="B39" s="5">
        <f>$E$1-$B$1*EXP(-$B$2*B35)</f>
        <v>0.5065358540328635</v>
      </c>
      <c r="D39" s="3" t="s">
        <v>43</v>
      </c>
      <c r="E39" s="3">
        <f>$E$1-$B$1*EXP(-$B$2*(E37))</f>
        <v>0.5</v>
      </c>
      <c r="F39" s="3">
        <f t="shared" ref="F39:X39" si="14">$E$1-$B$1*EXP(-$B$2*(F37))</f>
        <v>0.5065358540328635</v>
      </c>
      <c r="G39" s="3">
        <f t="shared" si="14"/>
        <v>0.51298627328984936</v>
      </c>
      <c r="H39" s="3">
        <f t="shared" si="14"/>
        <v>0.5193523745494063</v>
      </c>
      <c r="I39" s="3">
        <f t="shared" si="14"/>
        <v>0.5256352599917814</v>
      </c>
      <c r="J39" s="3">
        <f t="shared" si="14"/>
        <v>0.53183601738984343</v>
      </c>
      <c r="K39" s="3">
        <f t="shared" si="14"/>
        <v>0.53795572029741157</v>
      </c>
      <c r="L39" s="3">
        <f t="shared" si="14"/>
        <v>0.54399542823512292</v>
      </c>
      <c r="M39" s="3">
        <f t="shared" si="14"/>
        <v>0.54995618687387038</v>
      </c>
      <c r="N39" s="3">
        <f t="shared" si="14"/>
        <v>0.55583902821584186</v>
      </c>
      <c r="O39" s="3">
        <f t="shared" si="14"/>
        <v>0.56164497077319397</v>
      </c>
      <c r="P39" s="3">
        <f t="shared" si="14"/>
        <v>0.56737501974439009</v>
      </c>
      <c r="Q39" s="3">
        <f t="shared" si="14"/>
        <v>0.57303016718823241</v>
      </c>
      <c r="R39" s="3">
        <f t="shared" si="14"/>
        <v>0.57861139219562019</v>
      </c>
      <c r="S39" s="3">
        <f t="shared" si="14"/>
        <v>0.58411966105906221</v>
      </c>
      <c r="T39" s="3">
        <f t="shared" si="14"/>
        <v>0.58955592743997376</v>
      </c>
      <c r="U39" s="3">
        <f t="shared" si="14"/>
        <v>0.59492113253378665</v>
      </c>
      <c r="V39" s="3">
        <f t="shared" si="14"/>
        <v>0.60021620523290031</v>
      </c>
      <c r="W39" s="3">
        <f t="shared" si="14"/>
        <v>0.60544206228750452</v>
      </c>
      <c r="X39" s="3">
        <f t="shared" si="14"/>
        <v>0.61059960846429751</v>
      </c>
    </row>
    <row r="41" spans="1:24" x14ac:dyDescent="0.2">
      <c r="A41" s="6" t="s">
        <v>20</v>
      </c>
    </row>
    <row r="42" spans="1:24" x14ac:dyDescent="0.2">
      <c r="A42" s="6"/>
      <c r="C42" s="16" t="s">
        <v>26</v>
      </c>
      <c r="D42" s="17"/>
      <c r="E42" s="17"/>
      <c r="F42" s="18"/>
      <c r="G42" s="19" t="s">
        <v>32</v>
      </c>
      <c r="H42" s="19"/>
      <c r="I42" s="19"/>
      <c r="J42" s="19"/>
      <c r="K42" s="19"/>
      <c r="L42" s="19" t="s">
        <v>41</v>
      </c>
      <c r="M42" s="19"/>
      <c r="N42" s="19"/>
      <c r="O42" s="19" t="s">
        <v>42</v>
      </c>
      <c r="P42" s="19"/>
      <c r="Q42" s="19"/>
      <c r="R42" s="19"/>
    </row>
    <row r="43" spans="1:24" x14ac:dyDescent="0.2">
      <c r="A43" s="1" t="s">
        <v>12</v>
      </c>
      <c r="B43" s="9" t="s">
        <v>13</v>
      </c>
      <c r="C43" s="7" t="s">
        <v>22</v>
      </c>
      <c r="D43" s="7" t="s">
        <v>23</v>
      </c>
      <c r="E43" s="7" t="s">
        <v>24</v>
      </c>
      <c r="F43" s="7" t="s">
        <v>25</v>
      </c>
      <c r="G43" s="13" t="s">
        <v>21</v>
      </c>
      <c r="H43" s="7" t="s">
        <v>28</v>
      </c>
      <c r="I43" s="7" t="s">
        <v>29</v>
      </c>
      <c r="J43" s="7" t="s">
        <v>30</v>
      </c>
      <c r="K43" s="7" t="s">
        <v>31</v>
      </c>
      <c r="L43" s="7" t="s">
        <v>33</v>
      </c>
      <c r="M43" s="7" t="s">
        <v>34</v>
      </c>
      <c r="N43" s="7" t="s">
        <v>35</v>
      </c>
      <c r="O43" s="7" t="s">
        <v>38</v>
      </c>
      <c r="P43" s="7" t="s">
        <v>39</v>
      </c>
      <c r="Q43" s="7" t="s">
        <v>40</v>
      </c>
      <c r="R43" s="7" t="s">
        <v>36</v>
      </c>
      <c r="S43" s="7" t="s">
        <v>37</v>
      </c>
    </row>
    <row r="44" spans="1:24" x14ac:dyDescent="0.2">
      <c r="A44" s="1">
        <v>0</v>
      </c>
      <c r="B44" s="9">
        <f t="array" ref="B44:B63">x_values</f>
        <v>0</v>
      </c>
      <c r="C44" s="11">
        <f>0.5*$B$3^2*B44^2</f>
        <v>0</v>
      </c>
      <c r="D44" s="11">
        <f>$B$2*B44</f>
        <v>0</v>
      </c>
      <c r="E44" s="12">
        <f>-$B$2</f>
        <v>-0.25</v>
      </c>
      <c r="F44" s="5">
        <v>0</v>
      </c>
      <c r="G44" s="5">
        <f>0.5*$B$7*C44</f>
        <v>0</v>
      </c>
      <c r="H44" s="5">
        <f>$B$7*$B$6*0.25*D44</f>
        <v>0</v>
      </c>
      <c r="I44" s="5">
        <f>G44-H44</f>
        <v>0</v>
      </c>
      <c r="J44" s="5">
        <f>-2*G44+0.5*$B$7*$B$6^2*E44</f>
        <v>-1.8224230937454436E-5</v>
      </c>
      <c r="K44" s="5">
        <f>G44+H44</f>
        <v>0</v>
      </c>
      <c r="L44" s="1">
        <f>-I44</f>
        <v>0</v>
      </c>
      <c r="M44" s="1">
        <f>$B$6^2-J44</f>
        <v>2.7883073334305287E-3</v>
      </c>
      <c r="N44" s="1">
        <f>-K44</f>
        <v>0</v>
      </c>
      <c r="O44" s="1">
        <f>I44</f>
        <v>0</v>
      </c>
      <c r="P44" s="1">
        <f>$B$6^2+J44</f>
        <v>2.75185887155562E-3</v>
      </c>
      <c r="Q44" s="1">
        <f>K44</f>
        <v>0</v>
      </c>
      <c r="R44" s="7"/>
      <c r="S44" s="7"/>
    </row>
    <row r="45" spans="1:24" x14ac:dyDescent="0.2">
      <c r="A45" s="1">
        <v>1</v>
      </c>
      <c r="B45" s="1">
        <v>5.2631578947368418E-2</v>
      </c>
      <c r="C45" s="11">
        <f>0.5*$B$3^2*B45^2</f>
        <v>5.54016620498615E-5</v>
      </c>
      <c r="D45" s="11">
        <f>$B$2*B45</f>
        <v>1.3157894736842105E-2</v>
      </c>
      <c r="E45" s="12">
        <f>-$B$2</f>
        <v>-0.25</v>
      </c>
      <c r="F45" s="5">
        <v>0</v>
      </c>
      <c r="G45" s="5">
        <f>0.5*$B$7*C45</f>
        <v>1.4579384749963552E-6</v>
      </c>
      <c r="H45" s="5">
        <f>$B$7*$B$6*0.25*D45</f>
        <v>9.1121154687272178E-6</v>
      </c>
      <c r="I45" s="5">
        <f>G45-H45</f>
        <v>-7.6541769937308626E-6</v>
      </c>
      <c r="J45" s="5">
        <f>-2*G45+0.5*$B$7*$B$6^2*E45</f>
        <v>-2.1140107887447146E-5</v>
      </c>
      <c r="K45" s="5">
        <f>G45+H45</f>
        <v>1.0570053943723573E-5</v>
      </c>
      <c r="L45" s="1">
        <f>-I45</f>
        <v>7.6541769937308626E-6</v>
      </c>
      <c r="M45" s="1">
        <f>$B$6^2-J45</f>
        <v>2.7912232103805214E-3</v>
      </c>
      <c r="N45" s="1">
        <f>-K45</f>
        <v>-1.0570053943723573E-5</v>
      </c>
      <c r="O45" s="1">
        <f>I45</f>
        <v>-7.6541769937308626E-6</v>
      </c>
      <c r="P45" s="1">
        <f>$B$6^2+J45</f>
        <v>2.7489429946056273E-3</v>
      </c>
      <c r="Q45" s="1">
        <f>K45</f>
        <v>1.0570053943723573E-5</v>
      </c>
      <c r="R45" s="5">
        <f>(MMULT(O45:Q45,D11:D13)+Q44*(D11+B38))/($B$6^2)</f>
        <v>0</v>
      </c>
      <c r="S45" s="1">
        <v>3.8734810264403356E-14</v>
      </c>
    </row>
    <row r="46" spans="1:24" x14ac:dyDescent="0.2">
      <c r="A46" s="1">
        <v>2</v>
      </c>
      <c r="B46" s="1">
        <v>0.10526315789473684</v>
      </c>
      <c r="C46" s="11">
        <f t="shared" ref="C46:C63" si="15">0.5*$B$3^2*B46^2</f>
        <v>2.21606648199446E-4</v>
      </c>
      <c r="D46" s="11">
        <f t="shared" ref="D46:D63" si="16">$B$2*B46</f>
        <v>2.6315789473684209E-2</v>
      </c>
      <c r="E46" s="12">
        <f t="shared" ref="E46:E63" si="17">-$B$2</f>
        <v>-0.25</v>
      </c>
      <c r="F46" s="5">
        <v>0</v>
      </c>
      <c r="G46" s="5">
        <f t="shared" ref="G46:G62" si="18">0.5*$B$7*C46</f>
        <v>5.8317538999854207E-6</v>
      </c>
      <c r="H46" s="5">
        <f t="shared" ref="H46:H62" si="19">$B$7*$B$6*0.25*D46</f>
        <v>1.8224230937454436E-5</v>
      </c>
      <c r="I46" s="5">
        <f t="shared" ref="I46:I62" si="20">G46-H46</f>
        <v>-1.2392477037469015E-5</v>
      </c>
      <c r="J46" s="5">
        <f t="shared" ref="J46:J62" si="21">-2*G46+0.5*$B$7*$B$6^2*E46</f>
        <v>-2.9887738737425277E-5</v>
      </c>
      <c r="K46" s="5">
        <f t="shared" ref="K46:K62" si="22">G46+H46</f>
        <v>2.4055984837439856E-5</v>
      </c>
      <c r="L46" s="1">
        <f t="shared" ref="L46:L62" si="23">-I46</f>
        <v>1.2392477037469015E-5</v>
      </c>
      <c r="M46" s="1">
        <f t="shared" ref="M46:M62" si="24">$B$6^2-J46</f>
        <v>2.7999708412304995E-3</v>
      </c>
      <c r="N46" s="1">
        <f t="shared" ref="N46:N62" si="25">-K46</f>
        <v>-2.4055984837439856E-5</v>
      </c>
      <c r="O46" s="1">
        <f t="shared" ref="O46:O62" si="26">I46</f>
        <v>-1.2392477037469015E-5</v>
      </c>
      <c r="P46" s="1">
        <f t="shared" ref="P46:P62" si="27">$B$6^2+J46</f>
        <v>2.7401953637556493E-3</v>
      </c>
      <c r="Q46" s="1">
        <f t="shared" ref="Q46:Q62" si="28">K46</f>
        <v>2.4055984837439856E-5</v>
      </c>
      <c r="R46" s="1">
        <f>MMULT(O46:Q46,D12:D14)/($B$6^2)</f>
        <v>0</v>
      </c>
      <c r="S46" s="1">
        <v>1.0228661276027617E-11</v>
      </c>
    </row>
    <row r="47" spans="1:24" x14ac:dyDescent="0.2">
      <c r="A47" s="1">
        <v>3</v>
      </c>
      <c r="B47" s="1">
        <v>0.15789473684210525</v>
      </c>
      <c r="C47" s="11">
        <f t="shared" si="15"/>
        <v>4.986149584487535E-4</v>
      </c>
      <c r="D47" s="11">
        <f t="shared" si="16"/>
        <v>3.9473684210526314E-2</v>
      </c>
      <c r="E47" s="12">
        <f t="shared" si="17"/>
        <v>-0.25</v>
      </c>
      <c r="F47" s="5">
        <v>0</v>
      </c>
      <c r="G47" s="5">
        <f t="shared" si="18"/>
        <v>1.3121446274967197E-5</v>
      </c>
      <c r="H47" s="5">
        <f t="shared" si="19"/>
        <v>2.7336346406181653E-5</v>
      </c>
      <c r="I47" s="5">
        <f t="shared" si="20"/>
        <v>-1.4214900131214457E-5</v>
      </c>
      <c r="J47" s="5">
        <f t="shared" si="21"/>
        <v>-4.4467123487388832E-5</v>
      </c>
      <c r="K47" s="5">
        <f t="shared" si="22"/>
        <v>4.0457792681148852E-5</v>
      </c>
      <c r="L47" s="1">
        <f t="shared" si="23"/>
        <v>1.4214900131214457E-5</v>
      </c>
      <c r="M47" s="1">
        <f t="shared" si="24"/>
        <v>2.8145502259804634E-3</v>
      </c>
      <c r="N47" s="1">
        <f t="shared" si="25"/>
        <v>-4.0457792681148852E-5</v>
      </c>
      <c r="O47" s="1">
        <f t="shared" si="26"/>
        <v>-1.4214900131214457E-5</v>
      </c>
      <c r="P47" s="1">
        <f t="shared" si="27"/>
        <v>2.7256159790056854E-3</v>
      </c>
      <c r="Q47" s="1">
        <f t="shared" si="28"/>
        <v>4.0457792681148852E-5</v>
      </c>
      <c r="R47" s="1">
        <f t="shared" ref="R47:R61" si="29">MMULT(O47:Q47,D13:D15)/($B$6^2)</f>
        <v>0</v>
      </c>
      <c r="S47" s="1">
        <v>1.1905741349392902E-9</v>
      </c>
    </row>
    <row r="48" spans="1:24" x14ac:dyDescent="0.2">
      <c r="A48" s="1">
        <v>4</v>
      </c>
      <c r="B48" s="1">
        <v>0.21052631578947367</v>
      </c>
      <c r="C48" s="11">
        <f t="shared" si="15"/>
        <v>8.86426592797784E-4</v>
      </c>
      <c r="D48" s="11">
        <f t="shared" si="16"/>
        <v>5.2631578947368418E-2</v>
      </c>
      <c r="E48" s="12">
        <f t="shared" si="17"/>
        <v>-0.25</v>
      </c>
      <c r="F48" s="5">
        <v>0</v>
      </c>
      <c r="G48" s="5">
        <f t="shared" si="18"/>
        <v>2.3327015599941683E-5</v>
      </c>
      <c r="H48" s="5">
        <f t="shared" si="19"/>
        <v>3.6448461874908871E-5</v>
      </c>
      <c r="I48" s="5">
        <f t="shared" si="20"/>
        <v>-1.3121446274967188E-5</v>
      </c>
      <c r="J48" s="5">
        <f t="shared" si="21"/>
        <v>-6.4878262137337808E-5</v>
      </c>
      <c r="K48" s="5">
        <f t="shared" si="22"/>
        <v>5.9775477474850554E-5</v>
      </c>
      <c r="L48" s="1">
        <f t="shared" si="23"/>
        <v>1.3121446274967188E-5</v>
      </c>
      <c r="M48" s="1">
        <f t="shared" si="24"/>
        <v>2.8349613646304122E-3</v>
      </c>
      <c r="N48" s="1">
        <f t="shared" si="25"/>
        <v>-5.9775477474850554E-5</v>
      </c>
      <c r="O48" s="1">
        <f t="shared" si="26"/>
        <v>-1.3121446274967188E-5</v>
      </c>
      <c r="P48" s="1">
        <f t="shared" si="27"/>
        <v>2.7052048403557365E-3</v>
      </c>
      <c r="Q48" s="1">
        <f t="shared" si="28"/>
        <v>5.9775477474850554E-5</v>
      </c>
      <c r="R48" s="1">
        <f t="shared" si="29"/>
        <v>0</v>
      </c>
      <c r="S48" s="1">
        <v>8.2828940430549217E-8</v>
      </c>
    </row>
    <row r="49" spans="1:19" x14ac:dyDescent="0.2">
      <c r="A49" s="1">
        <v>5</v>
      </c>
      <c r="B49" s="1">
        <v>0.26315789473684209</v>
      </c>
      <c r="C49" s="11">
        <f t="shared" si="15"/>
        <v>1.3850415512465374E-3</v>
      </c>
      <c r="D49" s="11">
        <f t="shared" si="16"/>
        <v>6.5789473684210523E-2</v>
      </c>
      <c r="E49" s="12">
        <f t="shared" si="17"/>
        <v>-0.25</v>
      </c>
      <c r="F49" s="5">
        <v>0</v>
      </c>
      <c r="G49" s="5">
        <f t="shared" si="18"/>
        <v>3.6448461874908878E-5</v>
      </c>
      <c r="H49" s="5">
        <f t="shared" si="19"/>
        <v>4.5560577343636092E-5</v>
      </c>
      <c r="I49" s="5">
        <f t="shared" si="20"/>
        <v>-9.1121154687272144E-6</v>
      </c>
      <c r="J49" s="5">
        <f t="shared" si="21"/>
        <v>-9.1121154687272184E-5</v>
      </c>
      <c r="K49" s="5">
        <f t="shared" si="22"/>
        <v>8.2009039218544963E-5</v>
      </c>
      <c r="L49" s="1">
        <f t="shared" si="23"/>
        <v>9.1121154687272144E-6</v>
      </c>
      <c r="M49" s="1">
        <f t="shared" si="24"/>
        <v>2.8612042571803465E-3</v>
      </c>
      <c r="N49" s="1">
        <f t="shared" si="25"/>
        <v>-8.2009039218544963E-5</v>
      </c>
      <c r="O49" s="1">
        <f t="shared" si="26"/>
        <v>-9.1121154687272144E-6</v>
      </c>
      <c r="P49" s="1">
        <f t="shared" si="27"/>
        <v>2.6789619478058023E-3</v>
      </c>
      <c r="Q49" s="1">
        <f t="shared" si="28"/>
        <v>8.2009039218544963E-5</v>
      </c>
      <c r="R49" s="1">
        <f t="shared" si="29"/>
        <v>0</v>
      </c>
      <c r="S49" s="1">
        <v>3.9285753618150581E-6</v>
      </c>
    </row>
    <row r="50" spans="1:19" x14ac:dyDescent="0.2">
      <c r="A50" s="1">
        <v>6</v>
      </c>
      <c r="B50" s="1">
        <v>0.31578947368421051</v>
      </c>
      <c r="C50" s="11">
        <f t="shared" si="15"/>
        <v>1.994459833795014E-3</v>
      </c>
      <c r="D50" s="11">
        <f t="shared" si="16"/>
        <v>7.8947368421052627E-2</v>
      </c>
      <c r="E50" s="12">
        <f t="shared" si="17"/>
        <v>-0.25</v>
      </c>
      <c r="F50" s="5">
        <v>0</v>
      </c>
      <c r="G50" s="5">
        <f t="shared" si="18"/>
        <v>5.2485785099868787E-5</v>
      </c>
      <c r="H50" s="5">
        <f t="shared" si="19"/>
        <v>5.4672692812363307E-5</v>
      </c>
      <c r="I50" s="5">
        <f t="shared" si="20"/>
        <v>-2.1869077124945201E-6</v>
      </c>
      <c r="J50" s="5">
        <f t="shared" si="21"/>
        <v>-1.23195801137192E-4</v>
      </c>
      <c r="K50" s="5">
        <f t="shared" si="22"/>
        <v>1.0715847791223209E-4</v>
      </c>
      <c r="L50" s="1">
        <f t="shared" si="23"/>
        <v>2.1869077124945201E-6</v>
      </c>
      <c r="M50" s="1">
        <f t="shared" si="24"/>
        <v>2.8932789036302665E-3</v>
      </c>
      <c r="N50" s="1">
        <f t="shared" si="25"/>
        <v>-1.0715847791223209E-4</v>
      </c>
      <c r="O50" s="1">
        <f t="shared" si="26"/>
        <v>-2.1869077124945201E-6</v>
      </c>
      <c r="P50" s="1">
        <f t="shared" si="27"/>
        <v>2.6468873013558822E-3</v>
      </c>
      <c r="Q50" s="1">
        <f t="shared" si="28"/>
        <v>1.0715847791223209E-4</v>
      </c>
      <c r="R50" s="1">
        <f t="shared" si="29"/>
        <v>0</v>
      </c>
      <c r="S50" s="1">
        <v>1.3707283250559543E-4</v>
      </c>
    </row>
    <row r="51" spans="1:19" x14ac:dyDescent="0.2">
      <c r="A51" s="1">
        <v>7</v>
      </c>
      <c r="B51" s="1">
        <v>0.36842105263157893</v>
      </c>
      <c r="C51" s="11">
        <f t="shared" si="15"/>
        <v>2.7146814404432136E-3</v>
      </c>
      <c r="D51" s="11">
        <f t="shared" si="16"/>
        <v>9.2105263157894732E-2</v>
      </c>
      <c r="E51" s="12">
        <f t="shared" si="17"/>
        <v>-0.25</v>
      </c>
      <c r="F51" s="5">
        <v>0</v>
      </c>
      <c r="G51" s="5">
        <f t="shared" si="18"/>
        <v>7.1438985274821409E-5</v>
      </c>
      <c r="H51" s="5">
        <f t="shared" si="19"/>
        <v>6.3784808281090521E-5</v>
      </c>
      <c r="I51" s="5">
        <f t="shared" si="20"/>
        <v>7.654176993730888E-6</v>
      </c>
      <c r="J51" s="5">
        <f t="shared" si="21"/>
        <v>-1.6110220148709726E-4</v>
      </c>
      <c r="K51" s="5">
        <f t="shared" si="22"/>
        <v>1.3522379355591192E-4</v>
      </c>
      <c r="L51" s="1">
        <f t="shared" si="23"/>
        <v>-7.654176993730888E-6</v>
      </c>
      <c r="M51" s="1">
        <f t="shared" si="24"/>
        <v>2.9311853039801715E-3</v>
      </c>
      <c r="N51" s="1">
        <f t="shared" si="25"/>
        <v>-1.3522379355591192E-4</v>
      </c>
      <c r="O51" s="1">
        <f t="shared" si="26"/>
        <v>7.654176993730888E-6</v>
      </c>
      <c r="P51" s="1">
        <f t="shared" si="27"/>
        <v>2.6089809010059772E-3</v>
      </c>
      <c r="Q51" s="1">
        <f t="shared" si="28"/>
        <v>1.3522379355591192E-4</v>
      </c>
      <c r="R51" s="1">
        <f t="shared" si="29"/>
        <v>0</v>
      </c>
      <c r="S51" s="1">
        <v>3.7010466526584611E-3</v>
      </c>
    </row>
    <row r="52" spans="1:19" x14ac:dyDescent="0.2">
      <c r="A52" s="1">
        <v>8</v>
      </c>
      <c r="B52" s="1">
        <v>0.42105263157894735</v>
      </c>
      <c r="C52" s="11">
        <f t="shared" si="15"/>
        <v>3.545706371191136E-3</v>
      </c>
      <c r="D52" s="11">
        <f t="shared" si="16"/>
        <v>0.10526315789473684</v>
      </c>
      <c r="E52" s="12">
        <f t="shared" si="17"/>
        <v>-0.25</v>
      </c>
      <c r="F52" s="5">
        <v>0</v>
      </c>
      <c r="G52" s="5">
        <f t="shared" si="18"/>
        <v>9.3308062399766732E-5</v>
      </c>
      <c r="H52" s="5">
        <f t="shared" si="19"/>
        <v>7.2896923749817742E-5</v>
      </c>
      <c r="I52" s="5">
        <f t="shared" si="20"/>
        <v>2.0411138649948989E-5</v>
      </c>
      <c r="J52" s="5">
        <f t="shared" si="21"/>
        <v>-2.0484035573698791E-4</v>
      </c>
      <c r="K52" s="5">
        <f t="shared" si="22"/>
        <v>1.6620498614958447E-4</v>
      </c>
      <c r="L52" s="1">
        <f t="shared" si="23"/>
        <v>-2.0411138649948989E-5</v>
      </c>
      <c r="M52" s="1">
        <f t="shared" si="24"/>
        <v>2.9749234582300624E-3</v>
      </c>
      <c r="N52" s="1">
        <f t="shared" si="25"/>
        <v>-1.6620498614958447E-4</v>
      </c>
      <c r="O52" s="1">
        <f t="shared" si="26"/>
        <v>2.0411138649948989E-5</v>
      </c>
      <c r="P52" s="1">
        <f t="shared" si="27"/>
        <v>2.5652427467560864E-3</v>
      </c>
      <c r="Q52" s="1">
        <f t="shared" si="28"/>
        <v>1.6620498614958447E-4</v>
      </c>
      <c r="R52" s="1">
        <f t="shared" si="29"/>
        <v>0</v>
      </c>
      <c r="S52" s="1">
        <v>8.021816348031463E-2</v>
      </c>
    </row>
    <row r="53" spans="1:19" x14ac:dyDescent="0.2">
      <c r="A53" s="1">
        <v>9</v>
      </c>
      <c r="B53" s="1">
        <v>0.47368421052631576</v>
      </c>
      <c r="C53" s="11">
        <f t="shared" si="15"/>
        <v>4.4875346260387812E-3</v>
      </c>
      <c r="D53" s="11">
        <f t="shared" si="16"/>
        <v>0.11842105263157894</v>
      </c>
      <c r="E53" s="12">
        <f t="shared" si="17"/>
        <v>-0.25</v>
      </c>
      <c r="F53" s="5">
        <v>0</v>
      </c>
      <c r="G53" s="5">
        <f t="shared" si="18"/>
        <v>1.1809301647470476E-4</v>
      </c>
      <c r="H53" s="5">
        <f t="shared" si="19"/>
        <v>8.2009039218544963E-5</v>
      </c>
      <c r="I53" s="5">
        <f t="shared" si="20"/>
        <v>3.6083977256159798E-5</v>
      </c>
      <c r="J53" s="5">
        <f t="shared" si="21"/>
        <v>-2.5441026388686396E-4</v>
      </c>
      <c r="K53" s="5">
        <f t="shared" si="22"/>
        <v>2.0010205569324972E-4</v>
      </c>
      <c r="L53" s="1">
        <f t="shared" si="23"/>
        <v>-3.6083977256159798E-5</v>
      </c>
      <c r="M53" s="1">
        <f t="shared" si="24"/>
        <v>3.0244933663799382E-3</v>
      </c>
      <c r="N53" s="1">
        <f t="shared" si="25"/>
        <v>-2.0010205569324972E-4</v>
      </c>
      <c r="O53" s="1">
        <f t="shared" si="26"/>
        <v>3.6083977256159798E-5</v>
      </c>
      <c r="P53" s="1">
        <f t="shared" si="27"/>
        <v>2.5156728386062106E-3</v>
      </c>
      <c r="Q53" s="1">
        <f t="shared" si="28"/>
        <v>2.0010205569324972E-4</v>
      </c>
      <c r="R53" s="1">
        <f t="shared" si="29"/>
        <v>1.9009695290858706E-3</v>
      </c>
      <c r="S53" s="1">
        <v>1.4353802449863577</v>
      </c>
    </row>
    <row r="54" spans="1:19" x14ac:dyDescent="0.2">
      <c r="A54" s="1">
        <v>10</v>
      </c>
      <c r="B54" s="1">
        <v>0.52631578947368418</v>
      </c>
      <c r="C54" s="11">
        <f t="shared" si="15"/>
        <v>5.5401662049861496E-3</v>
      </c>
      <c r="D54" s="11">
        <f t="shared" si="16"/>
        <v>0.13157894736842105</v>
      </c>
      <c r="E54" s="12">
        <f t="shared" si="17"/>
        <v>-0.25</v>
      </c>
      <c r="F54" s="5">
        <v>0</v>
      </c>
      <c r="G54" s="5">
        <f t="shared" si="18"/>
        <v>1.4579384749963551E-4</v>
      </c>
      <c r="H54" s="5">
        <f t="shared" si="19"/>
        <v>9.1121154687272184E-5</v>
      </c>
      <c r="I54" s="5">
        <f t="shared" si="20"/>
        <v>5.4672692812363327E-5</v>
      </c>
      <c r="J54" s="5">
        <f t="shared" si="21"/>
        <v>-3.0981192593672547E-4</v>
      </c>
      <c r="K54" s="5">
        <f t="shared" si="22"/>
        <v>2.369150021869077E-4</v>
      </c>
      <c r="L54" s="1">
        <f t="shared" si="23"/>
        <v>-5.4672692812363327E-5</v>
      </c>
      <c r="M54" s="1">
        <f t="shared" si="24"/>
        <v>3.0798950284297998E-3</v>
      </c>
      <c r="N54" s="1">
        <f t="shared" si="25"/>
        <v>-2.369150021869077E-4</v>
      </c>
      <c r="O54" s="1">
        <f t="shared" si="26"/>
        <v>5.4672692812363327E-5</v>
      </c>
      <c r="P54" s="1">
        <f t="shared" si="27"/>
        <v>2.460271176556349E-3</v>
      </c>
      <c r="Q54" s="1">
        <f t="shared" si="28"/>
        <v>2.369150021869077E-4</v>
      </c>
      <c r="R54" s="1">
        <f t="shared" si="29"/>
        <v>3.0124653739612164E-2</v>
      </c>
      <c r="S54" s="1">
        <v>12.180953870149818</v>
      </c>
    </row>
    <row r="55" spans="1:19" x14ac:dyDescent="0.2">
      <c r="A55" s="1">
        <v>11</v>
      </c>
      <c r="B55" s="1">
        <v>0.57894736842105265</v>
      </c>
      <c r="C55" s="11">
        <f t="shared" si="15"/>
        <v>6.7036011080332429E-3</v>
      </c>
      <c r="D55" s="11">
        <f t="shared" si="16"/>
        <v>0.14473684210526316</v>
      </c>
      <c r="E55" s="12">
        <f t="shared" si="17"/>
        <v>-0.25</v>
      </c>
      <c r="F55" s="5">
        <v>0</v>
      </c>
      <c r="G55" s="5">
        <f t="shared" si="18"/>
        <v>1.7641055547455901E-4</v>
      </c>
      <c r="H55" s="5">
        <f t="shared" si="19"/>
        <v>1.0023327015599941E-4</v>
      </c>
      <c r="I55" s="5">
        <f t="shared" si="20"/>
        <v>7.6177285318559604E-5</v>
      </c>
      <c r="J55" s="5">
        <f t="shared" si="21"/>
        <v>-3.7104534188657246E-4</v>
      </c>
      <c r="K55" s="5">
        <f t="shared" si="22"/>
        <v>2.7664382563055841E-4</v>
      </c>
      <c r="L55" s="1">
        <f t="shared" si="23"/>
        <v>-7.6177285318559604E-5</v>
      </c>
      <c r="M55" s="1">
        <f t="shared" si="24"/>
        <v>3.1411284443796468E-3</v>
      </c>
      <c r="N55" s="1">
        <f t="shared" si="25"/>
        <v>-2.7664382563055841E-4</v>
      </c>
      <c r="O55" s="1">
        <f t="shared" si="26"/>
        <v>7.6177285318559604E-5</v>
      </c>
      <c r="P55" s="1">
        <f t="shared" si="27"/>
        <v>2.399037760606502E-3</v>
      </c>
      <c r="Q55" s="1">
        <f t="shared" si="28"/>
        <v>2.7664382563055841E-4</v>
      </c>
      <c r="R55" s="1">
        <f t="shared" si="29"/>
        <v>8.2236842105263178E-2</v>
      </c>
      <c r="S55" s="1">
        <v>30.867312563104697</v>
      </c>
    </row>
    <row r="56" spans="1:19" x14ac:dyDescent="0.2">
      <c r="A56" s="1">
        <v>12</v>
      </c>
      <c r="B56" s="1">
        <v>0.63157894736842102</v>
      </c>
      <c r="C56" s="11">
        <f t="shared" si="15"/>
        <v>7.977839335180056E-3</v>
      </c>
      <c r="D56" s="11">
        <f t="shared" si="16"/>
        <v>0.15789473684210525</v>
      </c>
      <c r="E56" s="12">
        <f t="shared" si="17"/>
        <v>-0.25</v>
      </c>
      <c r="F56" s="5">
        <v>0</v>
      </c>
      <c r="G56" s="5">
        <f t="shared" si="18"/>
        <v>2.0994314039947515E-4</v>
      </c>
      <c r="H56" s="5">
        <f t="shared" si="19"/>
        <v>1.0934538562472661E-4</v>
      </c>
      <c r="I56" s="5">
        <f t="shared" si="20"/>
        <v>1.0059775477474853E-4</v>
      </c>
      <c r="J56" s="5">
        <f t="shared" si="21"/>
        <v>-4.3811051173640473E-4</v>
      </c>
      <c r="K56" s="5">
        <f t="shared" si="22"/>
        <v>3.1928852602420177E-4</v>
      </c>
      <c r="L56" s="1">
        <f t="shared" si="23"/>
        <v>-1.0059775477474853E-4</v>
      </c>
      <c r="M56" s="1">
        <f t="shared" si="24"/>
        <v>3.2081936142294792E-3</v>
      </c>
      <c r="N56" s="1">
        <f t="shared" si="25"/>
        <v>-3.1928852602420177E-4</v>
      </c>
      <c r="O56" s="1">
        <f t="shared" si="26"/>
        <v>1.0059775477474853E-4</v>
      </c>
      <c r="P56" s="1">
        <f t="shared" si="27"/>
        <v>2.3319725907566696E-3</v>
      </c>
      <c r="Q56" s="1">
        <f t="shared" si="28"/>
        <v>3.1928852602420177E-4</v>
      </c>
      <c r="R56" s="1">
        <f t="shared" si="29"/>
        <v>0.13486842105263155</v>
      </c>
      <c r="S56" s="1">
        <v>49.859921357015615</v>
      </c>
    </row>
    <row r="57" spans="1:19" x14ac:dyDescent="0.2">
      <c r="A57" s="1">
        <v>13</v>
      </c>
      <c r="B57" s="1">
        <v>0.68421052631578938</v>
      </c>
      <c r="C57" s="11">
        <f t="shared" si="15"/>
        <v>9.3628808864265924E-3</v>
      </c>
      <c r="D57" s="11">
        <f t="shared" si="16"/>
        <v>0.17105263157894735</v>
      </c>
      <c r="E57" s="12">
        <f t="shared" si="17"/>
        <v>-0.25</v>
      </c>
      <c r="F57" s="5">
        <v>0</v>
      </c>
      <c r="G57" s="5">
        <f t="shared" si="18"/>
        <v>2.46391602274384E-4</v>
      </c>
      <c r="H57" s="5">
        <f t="shared" si="19"/>
        <v>1.1845750109345382E-4</v>
      </c>
      <c r="I57" s="5">
        <f t="shared" si="20"/>
        <v>1.2793410118093018E-4</v>
      </c>
      <c r="J57" s="5">
        <f t="shared" si="21"/>
        <v>-5.1100743548622245E-4</v>
      </c>
      <c r="K57" s="5">
        <f t="shared" si="22"/>
        <v>3.6484910336783782E-4</v>
      </c>
      <c r="L57" s="1">
        <f t="shared" si="23"/>
        <v>-1.2793410118093018E-4</v>
      </c>
      <c r="M57" s="1">
        <f t="shared" si="24"/>
        <v>3.2810905379792969E-3</v>
      </c>
      <c r="N57" s="1">
        <f t="shared" si="25"/>
        <v>-3.6484910336783782E-4</v>
      </c>
      <c r="O57" s="1">
        <f t="shared" si="26"/>
        <v>1.2793410118093018E-4</v>
      </c>
      <c r="P57" s="1">
        <f t="shared" si="27"/>
        <v>2.2590756670068518E-3</v>
      </c>
      <c r="Q57" s="1">
        <f t="shared" si="28"/>
        <v>3.6484910336783782E-4</v>
      </c>
      <c r="R57" s="1">
        <f t="shared" si="29"/>
        <v>0.18749999999999989</v>
      </c>
      <c r="S57" s="1">
        <v>68.861472051409265</v>
      </c>
    </row>
    <row r="58" spans="1:19" x14ac:dyDescent="0.2">
      <c r="A58" s="1">
        <v>14</v>
      </c>
      <c r="B58" s="1">
        <v>0.73684210526315785</v>
      </c>
      <c r="C58" s="11">
        <f t="shared" si="15"/>
        <v>1.0858725761772854E-2</v>
      </c>
      <c r="D58" s="11">
        <f t="shared" si="16"/>
        <v>0.18421052631578946</v>
      </c>
      <c r="E58" s="12">
        <f t="shared" si="17"/>
        <v>-0.25</v>
      </c>
      <c r="F58" s="5">
        <v>0</v>
      </c>
      <c r="G58" s="5">
        <f t="shared" si="18"/>
        <v>2.8575594109928564E-4</v>
      </c>
      <c r="H58" s="5">
        <f t="shared" si="19"/>
        <v>1.2756961656218104E-4</v>
      </c>
      <c r="I58" s="5">
        <f t="shared" si="20"/>
        <v>1.5818632453710459E-4</v>
      </c>
      <c r="J58" s="5">
        <f t="shared" si="21"/>
        <v>-5.8973611313602571E-4</v>
      </c>
      <c r="K58" s="5">
        <f t="shared" si="22"/>
        <v>4.1332555766146668E-4</v>
      </c>
      <c r="L58" s="1">
        <f t="shared" si="23"/>
        <v>-1.5818632453710459E-4</v>
      </c>
      <c r="M58" s="1">
        <f t="shared" si="24"/>
        <v>3.3598192156291001E-3</v>
      </c>
      <c r="N58" s="1">
        <f t="shared" si="25"/>
        <v>-4.1332555766146668E-4</v>
      </c>
      <c r="O58" s="1">
        <f t="shared" si="26"/>
        <v>1.5818632453710459E-4</v>
      </c>
      <c r="P58" s="1">
        <f t="shared" si="27"/>
        <v>2.1803469893570487E-3</v>
      </c>
      <c r="Q58" s="1">
        <f t="shared" si="28"/>
        <v>4.1332555766146668E-4</v>
      </c>
      <c r="R58" s="1">
        <f t="shared" si="29"/>
        <v>0.24013157894736836</v>
      </c>
      <c r="S58" s="1">
        <v>87.877261748725132</v>
      </c>
    </row>
    <row r="59" spans="1:19" x14ac:dyDescent="0.2">
      <c r="A59" s="1">
        <v>15</v>
      </c>
      <c r="B59" s="1">
        <v>0.78947368421052633</v>
      </c>
      <c r="C59" s="11">
        <f t="shared" si="15"/>
        <v>1.2465373961218841E-2</v>
      </c>
      <c r="D59" s="11">
        <f t="shared" si="16"/>
        <v>0.19736842105263158</v>
      </c>
      <c r="E59" s="12">
        <f t="shared" si="17"/>
        <v>-0.25</v>
      </c>
      <c r="F59" s="5">
        <v>0</v>
      </c>
      <c r="G59" s="5">
        <f t="shared" si="18"/>
        <v>3.2803615687418002E-4</v>
      </c>
      <c r="H59" s="5">
        <f t="shared" si="19"/>
        <v>1.3668173203090826E-4</v>
      </c>
      <c r="I59" s="5">
        <f t="shared" si="20"/>
        <v>1.9135442484327175E-4</v>
      </c>
      <c r="J59" s="5">
        <f t="shared" si="21"/>
        <v>-6.7429654468581447E-4</v>
      </c>
      <c r="K59" s="5">
        <f t="shared" si="22"/>
        <v>4.6471788890508828E-4</v>
      </c>
      <c r="L59" s="1">
        <f t="shared" si="23"/>
        <v>-1.9135442484327175E-4</v>
      </c>
      <c r="M59" s="1">
        <f t="shared" si="24"/>
        <v>3.4443796471788886E-3</v>
      </c>
      <c r="N59" s="1">
        <f t="shared" si="25"/>
        <v>-4.6471788890508828E-4</v>
      </c>
      <c r="O59" s="1">
        <f t="shared" si="26"/>
        <v>1.9135442484327175E-4</v>
      </c>
      <c r="P59" s="1">
        <f t="shared" si="27"/>
        <v>2.0957865578072601E-3</v>
      </c>
      <c r="Q59" s="1">
        <f t="shared" si="28"/>
        <v>4.6471788890508828E-4</v>
      </c>
      <c r="R59" s="1">
        <f t="shared" si="29"/>
        <v>0.29276315789473689</v>
      </c>
      <c r="S59" s="1">
        <v>107.00328036105539</v>
      </c>
    </row>
    <row r="60" spans="1:19" x14ac:dyDescent="0.2">
      <c r="A60" s="1">
        <v>16</v>
      </c>
      <c r="B60" s="1">
        <v>0.84210526315789469</v>
      </c>
      <c r="C60" s="11">
        <f t="shared" si="15"/>
        <v>1.4182825484764544E-2</v>
      </c>
      <c r="D60" s="11">
        <f t="shared" si="16"/>
        <v>0.21052631578947367</v>
      </c>
      <c r="E60" s="12">
        <f t="shared" si="17"/>
        <v>-0.25</v>
      </c>
      <c r="F60" s="5">
        <v>0</v>
      </c>
      <c r="G60" s="5">
        <f t="shared" si="18"/>
        <v>3.7323224959906693E-4</v>
      </c>
      <c r="H60" s="5">
        <f t="shared" si="19"/>
        <v>1.4579384749963548E-4</v>
      </c>
      <c r="I60" s="5">
        <f t="shared" si="20"/>
        <v>2.2743840209943144E-4</v>
      </c>
      <c r="J60" s="5">
        <f t="shared" si="21"/>
        <v>-7.646887301355883E-4</v>
      </c>
      <c r="K60" s="5">
        <f t="shared" si="22"/>
        <v>5.1902609709870247E-4</v>
      </c>
      <c r="L60" s="1">
        <f t="shared" si="23"/>
        <v>-2.2743840209943144E-4</v>
      </c>
      <c r="M60" s="1">
        <f t="shared" si="24"/>
        <v>3.5347718326286626E-3</v>
      </c>
      <c r="N60" s="1">
        <f t="shared" si="25"/>
        <v>-5.1902609709870247E-4</v>
      </c>
      <c r="O60" s="1">
        <f t="shared" si="26"/>
        <v>2.2743840209943144E-4</v>
      </c>
      <c r="P60" s="1">
        <f t="shared" si="27"/>
        <v>2.0053943723574862E-3</v>
      </c>
      <c r="Q60" s="1">
        <f t="shared" si="28"/>
        <v>5.1902609709870247E-4</v>
      </c>
      <c r="R60" s="1">
        <f t="shared" si="29"/>
        <v>0.34539473684210525</v>
      </c>
      <c r="S60" s="1">
        <v>126.9179897991314</v>
      </c>
    </row>
    <row r="61" spans="1:19" x14ac:dyDescent="0.2">
      <c r="A61" s="1">
        <v>17</v>
      </c>
      <c r="B61" s="1">
        <v>0.89473684210526305</v>
      </c>
      <c r="C61" s="11">
        <f t="shared" si="15"/>
        <v>1.6011080332409972E-2</v>
      </c>
      <c r="D61" s="11">
        <f t="shared" si="16"/>
        <v>0.22368421052631576</v>
      </c>
      <c r="E61" s="12">
        <f t="shared" si="17"/>
        <v>-0.25</v>
      </c>
      <c r="F61" s="5">
        <v>0</v>
      </c>
      <c r="G61" s="5">
        <f t="shared" si="18"/>
        <v>4.2134421927394658E-4</v>
      </c>
      <c r="H61" s="5">
        <f t="shared" si="19"/>
        <v>1.5490596296836271E-4</v>
      </c>
      <c r="I61" s="5">
        <f t="shared" si="20"/>
        <v>2.6643825630558388E-4</v>
      </c>
      <c r="J61" s="5">
        <f t="shared" si="21"/>
        <v>-8.6091266948534761E-4</v>
      </c>
      <c r="K61" s="14">
        <f t="shared" si="22"/>
        <v>5.7625018224230929E-4</v>
      </c>
      <c r="L61" s="1">
        <f t="shared" si="23"/>
        <v>-2.6643825630558388E-4</v>
      </c>
      <c r="M61" s="1">
        <f t="shared" si="24"/>
        <v>3.6309957719784219E-3</v>
      </c>
      <c r="N61" s="1">
        <f t="shared" si="25"/>
        <v>-5.7625018224230929E-4</v>
      </c>
      <c r="O61" s="1">
        <f t="shared" si="26"/>
        <v>2.6643825630558388E-4</v>
      </c>
      <c r="P61" s="1">
        <f t="shared" si="27"/>
        <v>1.9091704330077269E-3</v>
      </c>
      <c r="Q61" s="1">
        <f t="shared" si="28"/>
        <v>5.7625018224230929E-4</v>
      </c>
      <c r="R61" s="1">
        <f t="shared" si="29"/>
        <v>0.39802631578947362</v>
      </c>
      <c r="S61" s="1">
        <v>152.00534980806012</v>
      </c>
    </row>
    <row r="62" spans="1:19" x14ac:dyDescent="0.2">
      <c r="A62" s="1">
        <v>18</v>
      </c>
      <c r="B62" s="1">
        <v>0.94736842105263153</v>
      </c>
      <c r="C62" s="11">
        <f t="shared" si="15"/>
        <v>1.7950138504155125E-2</v>
      </c>
      <c r="D62" s="11">
        <f t="shared" si="16"/>
        <v>0.23684210526315788</v>
      </c>
      <c r="E62" s="12">
        <f t="shared" si="17"/>
        <v>-0.25</v>
      </c>
      <c r="F62" s="5">
        <v>0</v>
      </c>
      <c r="G62" s="5">
        <f t="shared" si="18"/>
        <v>4.7237206589881905E-4</v>
      </c>
      <c r="H62" s="5">
        <f t="shared" si="19"/>
        <v>1.6401807843708993E-4</v>
      </c>
      <c r="I62" s="5">
        <f t="shared" si="20"/>
        <v>3.0835398746172912E-4</v>
      </c>
      <c r="J62" s="5">
        <f t="shared" si="21"/>
        <v>-9.6296836273509253E-4</v>
      </c>
      <c r="K62" s="14">
        <f t="shared" si="22"/>
        <v>6.3639014433590903E-4</v>
      </c>
      <c r="L62" s="1">
        <f t="shared" si="23"/>
        <v>-3.0835398746172912E-4</v>
      </c>
      <c r="M62" s="1">
        <f t="shared" si="24"/>
        <v>3.733051465228167E-3</v>
      </c>
      <c r="N62" s="1">
        <f t="shared" si="25"/>
        <v>-6.3639014433590903E-4</v>
      </c>
      <c r="O62" s="1">
        <f t="shared" si="26"/>
        <v>3.0835398746172912E-4</v>
      </c>
      <c r="P62" s="1">
        <f t="shared" si="27"/>
        <v>1.8071147397579817E-3</v>
      </c>
      <c r="Q62" s="1">
        <f t="shared" si="28"/>
        <v>6.3639014433590903E-4</v>
      </c>
      <c r="R62" s="5">
        <f>(MMULT(O62:Q62,D28:D30)+Q63*(D30+B39))/($B$6^2)</f>
        <v>0.70480819788014015</v>
      </c>
      <c r="S62" s="1">
        <v>208.39673892772282</v>
      </c>
    </row>
    <row r="63" spans="1:19" x14ac:dyDescent="0.2">
      <c r="A63" s="1">
        <v>19</v>
      </c>
      <c r="B63" s="9">
        <v>1</v>
      </c>
      <c r="C63" s="11">
        <f t="shared" si="15"/>
        <v>2.0000000000000004E-2</v>
      </c>
      <c r="D63" s="11">
        <f t="shared" si="16"/>
        <v>0.25</v>
      </c>
      <c r="E63" s="12">
        <f t="shared" si="17"/>
        <v>-0.25</v>
      </c>
      <c r="F63" s="5">
        <v>0</v>
      </c>
      <c r="G63" s="5">
        <f t="shared" ref="G63" si="30">0.5*$B$7*C63</f>
        <v>5.2631578947368431E-4</v>
      </c>
      <c r="H63" s="14">
        <f t="shared" ref="H63" si="31">$B$7*$B$6*0.25*D63</f>
        <v>1.7313019390581715E-4</v>
      </c>
      <c r="I63" s="5">
        <f t="shared" ref="I63" si="32">G63-H63</f>
        <v>3.5318559556786716E-4</v>
      </c>
      <c r="J63" s="5">
        <f t="shared" ref="J63" si="33">-2*G63+0.5*$B$7*$B$6^2*E63</f>
        <v>-1.0708558098848229E-3</v>
      </c>
      <c r="K63" s="5">
        <f t="shared" ref="K63" si="34">G63+H63</f>
        <v>6.9944598337950145E-4</v>
      </c>
      <c r="L63" s="1">
        <f t="shared" ref="L63" si="35">-I63</f>
        <v>-3.5318559556786716E-4</v>
      </c>
      <c r="M63" s="1">
        <f t="shared" ref="M63" si="36">$B$6^2-J63</f>
        <v>3.8409389123778975E-3</v>
      </c>
      <c r="N63" s="1">
        <f t="shared" ref="N63" si="37">-K63</f>
        <v>-6.9944598337950145E-4</v>
      </c>
      <c r="O63" s="1">
        <f t="shared" ref="O63" si="38">I63</f>
        <v>3.5318559556786716E-4</v>
      </c>
      <c r="P63" s="1">
        <f t="shared" ref="P63" si="39">$B$6^2+J63</f>
        <v>1.6992272926082514E-3</v>
      </c>
      <c r="Q63" s="1">
        <f t="shared" ref="Q63" si="40">K63</f>
        <v>6.9944598337950145E-4</v>
      </c>
      <c r="R63" s="7"/>
      <c r="S63" s="7"/>
    </row>
  </sheetData>
  <mergeCells count="4">
    <mergeCell ref="C42:F42"/>
    <mergeCell ref="G42:K42"/>
    <mergeCell ref="L42:N42"/>
    <mergeCell ref="O42:R4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unc">
                <anchor moveWithCells="1" sizeWithCells="1">
                  <from>
                    <xdr:col>19</xdr:col>
                    <xdr:colOff>276225</xdr:colOff>
                    <xdr:row>44</xdr:row>
                    <xdr:rowOff>28575</xdr:rowOff>
                  </from>
                  <to>
                    <xdr:col>21</xdr:col>
                    <xdr:colOff>180975</xdr:colOff>
                    <xdr:row>46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RunFunc2">
                <anchor moveWithCells="1" sizeWithCells="1">
                  <from>
                    <xdr:col>16</xdr:col>
                    <xdr:colOff>361950</xdr:colOff>
                    <xdr:row>9</xdr:row>
                    <xdr:rowOff>76200</xdr:rowOff>
                  </from>
                  <to>
                    <xdr:col>17</xdr:col>
                    <xdr:colOff>495300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x_values</vt:lpstr>
      <vt:lpstr>x_values18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DD</dc:creator>
  <cp:lastModifiedBy>van DD</cp:lastModifiedBy>
  <dcterms:created xsi:type="dcterms:W3CDTF">2019-08-17T22:51:34Z</dcterms:created>
  <dcterms:modified xsi:type="dcterms:W3CDTF">2019-08-20T11:58:34Z</dcterms:modified>
</cp:coreProperties>
</file>